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CPP-OAS Verify" state="visible" r:id="rId5"/>
    <sheet sheetId="3" name="Tax Engine" state="visible" r:id="rId6"/>
    <sheet sheetId="4" name="Projection" state="visible" r:id="rId7"/>
    <sheet sheetId="5" name="RRIF Rates" state="visible" r:id="rId8"/>
    <sheet sheetId="6" name="Estate" state="visible" r:id="rId9"/>
    <sheet sheetId="7" name="Optimizer" state="visible" r:id="rId10"/>
  </sheets>
  <definedNames>
    <definedName name="Assumptions_CurrentAge">Assumptions!$B$7</definedName>
    <definedName name="Assumptions_RetirementAge">Assumptions!$B$8</definedName>
    <definedName name="Assumptions_LifeExpectancy">Assumptions!$B$9</definedName>
    <definedName name="Assumptions_Province">Assumptions!$B$10</definedName>
    <definedName name="Assumptions_EmploymentIncome">Assumptions!$B$13</definedName>
    <definedName name="Assumptions_StillWorking">Assumptions!$B$14</definedName>
    <definedName name="Assumptions_CppMonthly">Assumptions!$B$17</definedName>
    <definedName name="Assumptions_CppStartAge">Assumptions!$B$18</definedName>
    <definedName name="Assumptions_OasMonthly">Assumptions!$B$19</definedName>
    <definedName name="Assumptions_OasStartAge">Assumptions!$B$20</definedName>
    <definedName name="Assumptions_PensionType">Assumptions!$B$23</definedName>
    <definedName name="Assumptions_DbPensionAnnual">Assumptions!$B$24</definedName>
    <definedName name="Assumptions_DbPensionStartAge">Assumptions!$B$25</definedName>
    <definedName name="Assumptions_DbPensionIndexed">Assumptions!$B$26</definedName>
    <definedName name="Assumptions_RrspBalance">Assumptions!$B$29</definedName>
    <definedName name="Assumptions_TfsaBalance">Assumptions!$B$30</definedName>
    <definedName name="Assumptions_NonRegBalance">Assumptions!$B$31</definedName>
    <definedName name="Assumptions_NonRegCostBasis">Assumptions!$B$32</definedName>
    <definedName name="Assumptions_OtherAssets">Assumptions!$B$33</definedName>
    <definedName name="Assumptions_RealEstateValue">Assumptions!$B$36</definedName>
    <definedName name="Assumptions_IsPrimaryRes">Assumptions!$B$37</definedName>
    <definedName name="Assumptions_RealEstateCost">Assumptions!$B$38</definedName>
    <definedName name="Assumptions_MortgageBalance">Assumptions!$B$41</definedName>
    <definedName name="Assumptions_MortgageRate">Assumptions!$B$42</definedName>
    <definedName name="Assumptions_MortgageYears">Assumptions!$B$43</definedName>
    <definedName name="Assumptions_ConsumerDebt">Assumptions!$B$44</definedName>
    <definedName name="Assumptions_ConsumerDebtRate">Assumptions!$B$45</definedName>
    <definedName name="Assumptions_ConsumerPayoffAge">Assumptions!$B$46</definedName>
    <definedName name="Assumptions_OtherDebt">Assumptions!$B$47</definedName>
    <definedName name="Assumptions_OtherDebtRate">Assumptions!$B$48</definedName>
    <definedName name="Assumptions_OtherPayoffAge">Assumptions!$B$49</definedName>
    <definedName name="Assumptions_MonthlyExpenses">Assumptions!$B$52</definedName>
    <definedName name="Assumptions_ExpenseReduction">Assumptions!$B$53</definedName>
    <definedName name="Assumptions_Inflation">Assumptions!$B$54</definedName>
    <definedName name="Assumptions_RealReturn">Assumptions!$B$55</definedName>
    <definedName name="Assumptions_TfsaReturn">Assumptions!$B$56</definedName>
    <definedName name="Assumptions_NonRegReturn">Assumptions!$B$57</definedName>
    <definedName name="Assumptions_MeltdownEnabled">Assumptions!$B$61</definedName>
    <definedName name="Assumptions_MeltdownStartAge">Assumptions!$B$62</definedName>
    <definedName name="Assumptions_MeltdownTargetAge">Assumptions!$B$63</definedName>
    <definedName name="Assumptions_MeltdownAnnual">Assumptions!$B$64</definedName>
    <definedName name="Assumptions_CapGainsRate">Assumptions!$B$67</definedName>
    <definedName name="Assumptions_TfsaAnnualLimit">Assumptions!$B$68</definedName>
    <definedName name="Assumptions_OasClawbackThresh">Assumptions!$B$69</definedName>
    <definedName name="Assumptions_OasClawbackRate">Assumptions!$B$70</definedName>
    <definedName name="Assumptions_OasMaxAnnual">Assumptions!$B$71</definedName>
    <definedName name="FedBracketMin">'Tax Engine'!$A$5:$A$9</definedName>
    <definedName name="FedBracketMax">'Tax Engine'!$B$5:$B$9</definedName>
    <definedName name="FedBracketRate">'Tax Engine'!$C$5:$C$9</definedName>
    <definedName name="ProvBracketMin">'Tax Engine'!$A$12:$A$16</definedName>
    <definedName name="ProvBracketMax">'Tax Engine'!$B$12:$B$16</definedName>
    <definedName name="ProvBracketRate">'Tax Engine'!$C$12:$C$16</definedName>
    <definedName name="FedBasicPersonal">'Tax Engine'!$B$19</definedName>
    <definedName name="ProvBasicPersonal">'Tax Engine'!$C$19</definedName>
    <definedName name="FedAgeAmount">'Tax Engine'!$B$20</definedName>
    <definedName name="ProvAgeAmount">'Tax Engine'!$C$20</definedName>
    <definedName name="FedAgeThreshold">'Tax Engine'!$B$21</definedName>
    <definedName name="ProvAgeThreshold">'Tax Engine'!$C$21</definedName>
    <definedName name="FedAgeClawRate">'Tax Engine'!$B$22</definedName>
    <definedName name="ProvAgeClawRate">'Tax Engine'!$C$22</definedName>
    <definedName name="FedPensionCredit">'Tax Engine'!$B$23</definedName>
    <definedName name="ProvPensionCredit">'Tax Engine'!$C$23</definedName>
    <definedName name="FedCreditRate">'Tax Engine'!$B$24</definedName>
    <definedName name="ProvCreditRate">'Tax Engine'!$C$24</definedName>
    <definedName name="SurtaxThreshold1">'Tax Engine'!$B$27</definedName>
    <definedName name="SurtaxRate1">'Tax Engine'!$B$28</definedName>
    <definedName name="SurtaxThreshold2">'Tax Engine'!$B$29</definedName>
    <definedName name="SurtaxRate2">'Tax Engine'!$B$30</definedName>
    <definedName name="CppEarlyReduction">'Tax Engine'!$B$33</definedName>
    <definedName name="CppLateIncrease">'Tax Engine'!$B$34</definedName>
    <definedName name="OasDeferralBonus">'Tax Engine'!$B$35</definedName>
    <definedName name="OasMaxDeferAge">'Tax Engine'!$B$36</definedName>
    <definedName name="OasStdStartAge">'Tax Engine'!$B$37</definedName>
    <definedName name="RrifRates">'RRIF Rates'!$A$5:$B$45</definedName>
  </definedNames>
  <calcPr calcId="171027"/>
</workbook>
</file>

<file path=xl/sharedStrings.xml><?xml version="1.0" encoding="utf-8"?>
<sst xmlns="http://schemas.openxmlformats.org/spreadsheetml/2006/main" count="394" uniqueCount="309">
  <si>
    <t>These are YOUR numbers — everything about your life, income, savings, and debts. Change any blue number and the entire workbook recalculates. Yellow cells are the most important assumptions to experiment with.</t>
  </si>
  <si>
    <t>ASSUMPTIONS</t>
  </si>
  <si>
    <t>My Plan</t>
  </si>
  <si>
    <t>What it means</t>
  </si>
  <si>
    <t>Personal</t>
  </si>
  <si>
    <t>Current Age</t>
  </si>
  <si>
    <t>Your age today — the starting point for all projections</t>
  </si>
  <si>
    <t>Retirement Age</t>
  </si>
  <si>
    <t>When you plan to stop working and draw from savings</t>
  </si>
  <si>
    <t>Life Expectancy</t>
  </si>
  <si>
    <t>How far we project — plan conservatively (longer = safer)</t>
  </si>
  <si>
    <t>Province</t>
  </si>
  <si>
    <t>ON</t>
  </si>
  <si>
    <t>Used for provincial tax brackets, credits, and surtax</t>
  </si>
  <si>
    <t>Income</t>
  </si>
  <si>
    <t>Employment Income</t>
  </si>
  <si>
    <t>Current annual gross salary or self-employment income</t>
  </si>
  <si>
    <t>Still Working</t>
  </si>
  <si>
    <t>1 = currently employed, 0 = already retired</t>
  </si>
  <si>
    <t>Government Benefits</t>
  </si>
  <si>
    <t>CPP Monthly at 65</t>
  </si>
  <si>
    <t>Estimated CPP pension per month if you start at age 65</t>
  </si>
  <si>
    <t>CPP Start Age</t>
  </si>
  <si>
    <t>When you start CPP (60–70). Early = smaller; late = larger</t>
  </si>
  <si>
    <t>OAS Monthly at 65</t>
  </si>
  <si>
    <t>Estimated OAS pension per month at age 65</t>
  </si>
  <si>
    <t>OAS Start Age</t>
  </si>
  <si>
    <t>When you start OAS (65–70). Deferring increases by 0.6%/mo</t>
  </si>
  <si>
    <t>Pension</t>
  </si>
  <si>
    <t>Pension Type</t>
  </si>
  <si>
    <t>none</t>
  </si>
  <si>
    <t>"db" = defined benefit, "dc" = defined contribution, "none"</t>
  </si>
  <si>
    <t>DB Pension Annual</t>
  </si>
  <si>
    <t>Annual DB pension amount at start age (before inflation)</t>
  </si>
  <si>
    <t>DB Pension Start Age</t>
  </si>
  <si>
    <t>Age when DB pension payments begin</t>
  </si>
  <si>
    <t>DB Pension Indexed</t>
  </si>
  <si>
    <t>1 = pension grows with inflation, 0 = fixed dollar amount</t>
  </si>
  <si>
    <t>Account Balances</t>
  </si>
  <si>
    <t>RRSP Balance</t>
  </si>
  <si>
    <t>Combined RRSP + RRIF + DC Pension + LIRA balances</t>
  </si>
  <si>
    <t>TFSA Balance</t>
  </si>
  <si>
    <t>Tax-Free Savings Account balance</t>
  </si>
  <si>
    <t>Non-Reg Balance</t>
  </si>
  <si>
    <t>Non-registered investments + cash savings</t>
  </si>
  <si>
    <t>Non-Reg Cost Basis</t>
  </si>
  <si>
    <t>What you originally paid — used to calculate capital gains tax</t>
  </si>
  <si>
    <t>Other Assets</t>
  </si>
  <si>
    <t>Other registered accounts + miscellaneous assets</t>
  </si>
  <si>
    <t>Real Estate</t>
  </si>
  <si>
    <t>Real Estate Value</t>
  </si>
  <si>
    <t>Current market value of your home</t>
  </si>
  <si>
    <t>Is Primary Residence</t>
  </si>
  <si>
    <t>1 = primary residence (exempt from cap gains), 0 = investment</t>
  </si>
  <si>
    <t>Est. Cost Basis</t>
  </si>
  <si>
    <t>Purchase price (for cap gains if not primary residence)</t>
  </si>
  <si>
    <t>Liabilities</t>
  </si>
  <si>
    <t>Mortgage Balance</t>
  </si>
  <si>
    <t>Remaining mortgage principal</t>
  </si>
  <si>
    <t>Mortgage Rate</t>
  </si>
  <si>
    <t>Annual mortgage interest rate</t>
  </si>
  <si>
    <t>Mortgage Years Left</t>
  </si>
  <si>
    <t>Years remaining on mortgage</t>
  </si>
  <si>
    <t>Consumer Debt</t>
  </si>
  <si>
    <t>Credit cards, lines of credit, car loans, etc.</t>
  </si>
  <si>
    <t>Consumer Debt Rate</t>
  </si>
  <si>
    <t>Average annual interest rate on consumer debt</t>
  </si>
  <si>
    <t>Consumer Payoff Age</t>
  </si>
  <si>
    <t>Target age to be consumer debt-free</t>
  </si>
  <si>
    <t>Other Debt</t>
  </si>
  <si>
    <t>Student loans, family loans, other liabilities</t>
  </si>
  <si>
    <t>Other Debt Rate</t>
  </si>
  <si>
    <t>Average annual interest rate on other debt</t>
  </si>
  <si>
    <t>Other Payoff Age</t>
  </si>
  <si>
    <t>Target age to be completely debt-free</t>
  </si>
  <si>
    <t>Expenses &amp; Returns</t>
  </si>
  <si>
    <t>Monthly Expenses</t>
  </si>
  <si>
    <t>Total monthly living expenses (housing, food, transport, etc.)</t>
  </si>
  <si>
    <t>Expense Reduction</t>
  </si>
  <si>
    <t>How much expenses drop in retirement (no commute, paid-off home)</t>
  </si>
  <si>
    <t>Inflation Rate</t>
  </si>
  <si>
    <t>Expected annual price increases (BoC target = 2%)</t>
  </si>
  <si>
    <t>Real Return (RRSP)</t>
  </si>
  <si>
    <t>Investment return above inflation for RRSP accounts</t>
  </si>
  <si>
    <t>TFSA Return</t>
  </si>
  <si>
    <t>Investment return above inflation for TFSA</t>
  </si>
  <si>
    <t>Non-Reg Return</t>
  </si>
  <si>
    <t>Investment return above inflation for non-registered accounts</t>
  </si>
  <si>
    <t>Withdrawal Strategy</t>
  </si>
  <si>
    <t>Withdrawal Order</t>
  </si>
  <si>
    <t>TFSA &gt; NonReg &gt; RRSP &gt; Other</t>
  </si>
  <si>
    <t>TFSA first (tax-free), then NonReg, then RRSP (most taxed)</t>
  </si>
  <si>
    <t>RRSP Meltdown Enabled</t>
  </si>
  <si>
    <t>1 = gradually draw down RRSP before 72, 0 = wait for RRIF</t>
  </si>
  <si>
    <t>Meltdown Start Age</t>
  </si>
  <si>
    <t>Age to start RRSP meltdown withdrawals</t>
  </si>
  <si>
    <t>Meltdown Target Age</t>
  </si>
  <si>
    <t>Age to finish meltdown (must be ≤71, before RRIF kicks in)</t>
  </si>
  <si>
    <t>Meltdown Annual</t>
  </si>
  <si>
    <t>Annual meltdown withdrawal amount</t>
  </si>
  <si>
    <t>Tax Constants</t>
  </si>
  <si>
    <t>Capital Gains Inclusion</t>
  </si>
  <si>
    <t>Fraction of capital gains that are taxable (currently 50%)</t>
  </si>
  <si>
    <t>TFSA Annual Limit</t>
  </si>
  <si>
    <t>Maximum annual TFSA contribution room</t>
  </si>
  <si>
    <t>OAS Clawback Threshold</t>
  </si>
  <si>
    <t>Income above this triggers OAS clawback at 15%</t>
  </si>
  <si>
    <t>OAS Clawback Rate</t>
  </si>
  <si>
    <t>Rate at which OAS is clawed back (15%)</t>
  </si>
  <si>
    <t>OAS Max Annual</t>
  </si>
  <si>
    <t>Maximum annual OAS benefit (for clawback cap)</t>
  </si>
  <si>
    <t>Change any blue value → entire workbook recalculates.</t>
  </si>
  <si>
    <t>Yellow cells = key assumptions to sensitivity-test.</t>
  </si>
  <si>
    <t>This sheet shows exactly how your CPP and OAS payments are calculated — the adjustment for starting early or late, inflation indexing, and the OAS clawback check.</t>
  </si>
  <si>
    <t>CPP Benefit Calculation</t>
  </si>
  <si>
    <t>Monthly at 65</t>
  </si>
  <si>
    <t>Start Age</t>
  </si>
  <si>
    <t>Months from 65</t>
  </si>
  <si>
    <t>Early Reduction/mo</t>
  </si>
  <si>
    <t>Late Increase/mo</t>
  </si>
  <si>
    <t>Adjustment Factor</t>
  </si>
  <si>
    <t>Annual at Start Age</t>
  </si>
  <si>
    <t>OAS Benefit Calculation</t>
  </si>
  <si>
    <t>Years Deferred</t>
  </si>
  <si>
    <t>Deferral Bonus/mo</t>
  </si>
  <si>
    <t>Deferral Multiplier</t>
  </si>
  <si>
    <t>OAS Clawback Thresh.</t>
  </si>
  <si>
    <t>Age</t>
  </si>
  <si>
    <t>CPP (Formula)</t>
  </si>
  <si>
    <t>CPP (JS Engine)</t>
  </si>
  <si>
    <t>OAS (Formula)</t>
  </si>
  <si>
    <t>OAS (JS Engine)</t>
  </si>
  <si>
    <t>COLUMN DICTIONARY</t>
  </si>
  <si>
    <t>Your estimated CPP/OAS monthly payment if starting at the standard age of 65</t>
  </si>
  <si>
    <t>Number of months you are starting early (negative) or late (positive) versus 65</t>
  </si>
  <si>
    <t>Multiplier applied to your benefit: &lt;1 if early, &gt;1 if late</t>
  </si>
  <si>
    <t>Your first-year annual CPP/OAS payment after the early/late adjustment</t>
  </si>
  <si>
    <t>Clawback Threshold</t>
  </si>
  <si>
    <t>If total income exceeds this, OAS is reduced at 15% on the excess</t>
  </si>
  <si>
    <t>CPP value from the live Excel formula (recalculates if you change assumptions)</t>
  </si>
  <si>
    <t>CPP value from the app's JavaScript engine (static snapshot for comparison)</t>
  </si>
  <si>
    <t>This is how Canadian income tax works, bracket by bracket. You pay a low rate on your first dollars of income, and higher rates on additional income. Credits reduce the tax you owe.</t>
  </si>
  <si>
    <t>Federal Brackets</t>
  </si>
  <si>
    <t>Max</t>
  </si>
  <si>
    <t>Rate</t>
  </si>
  <si>
    <t>Ontario Brackets</t>
  </si>
  <si>
    <t>Credits</t>
  </si>
  <si>
    <t>Federal</t>
  </si>
  <si>
    <t>Basic Personal</t>
  </si>
  <si>
    <t>Age Amount</t>
  </si>
  <si>
    <t>Age Income Threshold</t>
  </si>
  <si>
    <t>Age Clawback Rate</t>
  </si>
  <si>
    <t>Pension Credit</t>
  </si>
  <si>
    <t>Credit Rate</t>
  </si>
  <si>
    <t>ON Surtax</t>
  </si>
  <si>
    <t>Surtax Threshold 1</t>
  </si>
  <si>
    <t>Surtax Rate 1</t>
  </si>
  <si>
    <t>Surtax Threshold 2</t>
  </si>
  <si>
    <t>Surtax Rate 2</t>
  </si>
  <si>
    <t>CPP/OAS Parameters</t>
  </si>
  <si>
    <t>CPP Early Reduction/mo</t>
  </si>
  <si>
    <t>CPP Late Increase/mo</t>
  </si>
  <si>
    <t>OAS Deferral Bonus/mo</t>
  </si>
  <si>
    <t>OAS Max Defer Age</t>
  </si>
  <si>
    <t>Bracket Min</t>
  </si>
  <si>
    <t>The income threshold where this tax bracket begins</t>
  </si>
  <si>
    <t>Bracket Max</t>
  </si>
  <si>
    <t>The income threshold where this tax bracket ends</t>
  </si>
  <si>
    <t>Tax rate applied to income within this bracket</t>
  </si>
  <si>
    <t>Income amount everyone can earn tax-free (non-refundable credit)</t>
  </si>
  <si>
    <t>Extra tax credit available at age 65+ (income-tested)</t>
  </si>
  <si>
    <t>Age Income Thresh.</t>
  </si>
  <si>
    <t>Income level where the age amount starts being clawed back</t>
  </si>
  <si>
    <t>Tax credit on first $2,000 of eligible pension/RRIF income</t>
  </si>
  <si>
    <t>Lowest bracket rate used to convert credits to tax savings</t>
  </si>
  <si>
    <t>Surtax</t>
  </si>
  <si>
    <t>Additional tax some provinces charge on top of basic provincial tax</t>
  </si>
  <si>
    <t>Effective Rate</t>
  </si>
  <si>
    <t>Your actual overall tax rate (total tax / total income)</t>
  </si>
  <si>
    <t>This is your complete financial life, one row per year from today until life expectancy. Every number is a formula — change an assumption and watch your entire future recalculate. Green surplus = saving money. Red = drawing down. Portfolio hits $0 = trouble.</t>
  </si>
  <si>
    <t>YEAR-BY-YEAR PROJECTION</t>
  </si>
  <si>
    <t>Year</t>
  </si>
  <si>
    <t>Retired?</t>
  </si>
  <si>
    <t>Inflation Factor</t>
  </si>
  <si>
    <t>Employment</t>
  </si>
  <si>
    <t>CPP</t>
  </si>
  <si>
    <t>OAS Gross</t>
  </si>
  <si>
    <t>RRIF Min</t>
  </si>
  <si>
    <t>Meltdown</t>
  </si>
  <si>
    <t>Base RRSP Wd</t>
  </si>
  <si>
    <t>Taxable Before Grossup</t>
  </si>
  <si>
    <t>Expenses</t>
  </si>
  <si>
    <t>Mortgage Pmt</t>
  </si>
  <si>
    <t>Debt Pmt</t>
  </si>
  <si>
    <t>Total Need</t>
  </si>
  <si>
    <t>Tax on Known</t>
  </si>
  <si>
    <t>After-Tax Known</t>
  </si>
  <si>
    <t>Shortfall</t>
  </si>
  <si>
    <t>TFSA Wd</t>
  </si>
  <si>
    <t>After TFSA</t>
  </si>
  <si>
    <t>NonReg Wd</t>
  </si>
  <si>
    <t>After NonReg</t>
  </si>
  <si>
    <t>Marginal Rate</t>
  </si>
  <si>
    <t>RRSP Grossup</t>
  </si>
  <si>
    <t>Total RRSP Wd</t>
  </si>
  <si>
    <t>Other Wd</t>
  </si>
  <si>
    <t>OAS Clawback</t>
  </si>
  <si>
    <t>OAS Net</t>
  </si>
  <si>
    <t>NonReg Gain</t>
  </si>
  <si>
    <t>Total Taxable</t>
  </si>
  <si>
    <t>Federal Tax</t>
  </si>
  <si>
    <t>Provincial Tax</t>
  </si>
  <si>
    <t>Total Tax</t>
  </si>
  <si>
    <t>After-Tax Income</t>
  </si>
  <si>
    <t>Surplus</t>
  </si>
  <si>
    <t>TFSA Deposit</t>
  </si>
  <si>
    <t>RRSP Bal</t>
  </si>
  <si>
    <t>TFSA Bal</t>
  </si>
  <si>
    <t>NonReg Bal</t>
  </si>
  <si>
    <t>Other Bal</t>
  </si>
  <si>
    <t>Mortgage Bal</t>
  </si>
  <si>
    <t>Total Portfolio</t>
  </si>
  <si>
    <t>Net Worth</t>
  </si>
  <si>
    <t>NonReg Cost Basis</t>
  </si>
  <si>
    <t>Your age in this projection year</t>
  </si>
  <si>
    <t>Calendar year</t>
  </si>
  <si>
    <t>1 = retired (no employment income), 0 = still working</t>
  </si>
  <si>
    <t>Cumulative inflation multiplier since today (compounds annually)</t>
  </si>
  <si>
    <t>Gross salary, inflation-adjusted. Drops to $0 at retirement age</t>
  </si>
  <si>
    <t>Canada Pension Plan income, adjusted for early/late start age</t>
  </si>
  <si>
    <t>Old Age Security before clawback, adjusted for deferral bonus</t>
  </si>
  <si>
    <t>Defined-benefit pension income (if applicable)</t>
  </si>
  <si>
    <t>Mandatory minimum RRSP/RRIF withdrawal after age 71 (CRA rates)</t>
  </si>
  <si>
    <t>Voluntary RRSP drawdown to reduce future forced RRIF withdrawals</t>
  </si>
  <si>
    <t>Greater of RRIF minimum or meltdown amount, capped at RRSP balance</t>
  </si>
  <si>
    <t>Sum of all taxable income sources before extra RRSP withdrawals</t>
  </si>
  <si>
    <t>Annual living expenses, inflation-adjusted, reduced in retirement</t>
  </si>
  <si>
    <t>Annual mortgage payment (principal + interest)</t>
  </si>
  <si>
    <t>Annual consumer + other debt payments</t>
  </si>
  <si>
    <t>Expenses + mortgage + debt payments</t>
  </si>
  <si>
    <t>Estimated tax on known taxable income (before RRSP grossup)</t>
  </si>
  <si>
    <t>Known income minus estimated tax</t>
  </si>
  <si>
    <t>How much more cash you need beyond known income</t>
  </si>
  <si>
    <t>Withdrawal from TFSA to cover shortfall (tax-free)</t>
  </si>
  <si>
    <t>Remaining shortfall after TFSA withdrawal</t>
  </si>
  <si>
    <t>Withdrawal from non-registered accounts</t>
  </si>
  <si>
    <t>Remaining shortfall after non-reg withdrawal</t>
  </si>
  <si>
    <t>Combined federal + provincial marginal tax rate on next dollar</t>
  </si>
  <si>
    <t>Extra RRSP withdrawal grossed up for tax to cover remaining shortfall</t>
  </si>
  <si>
    <t>Base RRSP withdrawal + grossup amount</t>
  </si>
  <si>
    <t>Withdrawal from other assets if RRSP still not enough</t>
  </si>
  <si>
    <t>OAS repayment if total income exceeds clawback threshold</t>
  </si>
  <si>
    <t>OAS after clawback deduction</t>
  </si>
  <si>
    <t>Taxable capital gain on non-reg withdrawal (gains portion × 50%)</t>
  </si>
  <si>
    <t>All taxable income including RRSP withdrawals and capital gains</t>
  </si>
  <si>
    <t>Federal income tax with personal, age, and pension credits</t>
  </si>
  <si>
    <t>Provincial income tax with credits + surtax (if applicable)</t>
  </si>
  <si>
    <t>Federal + provincial tax combined</t>
  </si>
  <si>
    <t>Total cash received after all taxes</t>
  </si>
  <si>
    <t>After-tax income minus total spending needs (negative = shortfall)</t>
  </si>
  <si>
    <t>Surplus deposited into TFSA (up to annual limit)</t>
  </si>
  <si>
    <t>End-of-year RRSP balance after withdrawals + investment returns</t>
  </si>
  <si>
    <t>End-of-year TFSA balance after withdrawals/deposits + returns</t>
  </si>
  <si>
    <t>End-of-year non-reg balance after withdrawals + overflow deposits + returns</t>
  </si>
  <si>
    <t>End-of-year other assets balance</t>
  </si>
  <si>
    <t>RRSP + TFSA + NonReg + Other (all investment accounts)</t>
  </si>
  <si>
    <t>Total portfolio + real estate - mortgage balance</t>
  </si>
  <si>
    <t>Tracks what you originally paid into non-reg accounts, adjusted for withdrawals/deposits. Used to calculate capital gains tax.</t>
  </si>
  <si>
    <t>After age 71, the government forces you to convert your RRSP to a RRIF and withdraw a minimum percentage every year. These are the CRA-prescribed rates. The percentage increases with age — by 95, you must withdraw 20% per year.</t>
  </si>
  <si>
    <t>Min Rate</t>
  </si>
  <si>
    <t>On $100K</t>
  </si>
  <si>
    <t>On $200K</t>
  </si>
  <si>
    <t>Your age in this row</t>
  </si>
  <si>
    <t>CRA-prescribed minimum percentage you must withdraw from your RRIF each year</t>
  </si>
  <si>
    <t>Example: how much you'd have to withdraw if your RRIF balance were $100,000</t>
  </si>
  <si>
    <t>Example: how much you'd have to withdraw if your RRIF balance were $200,000</t>
  </si>
  <si>
    <t>What happens to your money when you die. This shows how much your heirs actually receive after the government takes its share in taxes and probate fees.</t>
  </si>
  <si>
    <t>ESTATE ANALYSIS AT DEATH</t>
  </si>
  <si>
    <t>Final Portfolio Balances</t>
  </si>
  <si>
    <t>RRSP/RRIF Balance</t>
  </si>
  <si>
    <t>Deemed Disposition at Death</t>
  </si>
  <si>
    <t>RRSP Deemed Income</t>
  </si>
  <si>
    <t>Non-Reg Capital Gain</t>
  </si>
  <si>
    <t>Real Estate Cap Gain</t>
  </si>
  <si>
    <t>Total Deemed Income</t>
  </si>
  <si>
    <t>Tax on Deemed Income</t>
  </si>
  <si>
    <t>Total Estate Tax</t>
  </si>
  <si>
    <t>Probate Fees</t>
  </si>
  <si>
    <t>Probate Estate</t>
  </si>
  <si>
    <t>Probate Fee</t>
  </si>
  <si>
    <t>Net Estate Summary</t>
  </si>
  <si>
    <t>Gross Estate</t>
  </si>
  <si>
    <t>Less: Mortgage</t>
  </si>
  <si>
    <t>Less: Estate Tax</t>
  </si>
  <si>
    <t>Less: Probate Fee</t>
  </si>
  <si>
    <t>NET ESTATE</t>
  </si>
  <si>
    <t>RRSP/RRIF at Death</t>
  </si>
  <si>
    <t>Full balance is treated as income in your final tax return</t>
  </si>
  <si>
    <t>Deemed Income Tax</t>
  </si>
  <si>
    <t>Tax owed on RRSP + capital gains as if you sold everything at death</t>
  </si>
  <si>
    <t>Capital Gains</t>
  </si>
  <si>
    <t>Taxable gain on non-reg investments and investment real estate (50% inclusion)</t>
  </si>
  <si>
    <t>Assets that go through probate (portfolio + real estate - TFSA - mortgage)</t>
  </si>
  <si>
    <t>Provincial fee for validating your will (varies by province)</t>
  </si>
  <si>
    <t>Net to Heirs</t>
  </si>
  <si>
    <t>What your beneficiaries actually receive after all deductions</t>
  </si>
  <si>
    <t>Side-by-side comparison of your current plan vs what the optimizer recommends. Each row shows a different strategy dimension — CPP timing, OAS timing, withdrawal order, or meltdown approach.</t>
  </si>
  <si>
    <t>OPTIMIZER RESULTS</t>
  </si>
  <si>
    <t>Optimizer not yet run — navigate to the Optimize tab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</si>
</sst>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color theme="1"/>
      <family val="2"/>
      <scheme val="minor"/>
      <sz val="11"/>
      <name val="Calibri"/>
    </font>
    <font>
      <i/>
      <color rgb="FF333333"/>
      <sz val="11"/>
      <name val="Calibri"/>
    </font>
    <font>
      <b/>
      <color rgb="FF1F4E79"/>
      <sz val="14"/>
      <name val="Calibri"/>
    </font>
    <font>
      <color rgb="FF666666"/>
      <sz val="9"/>
      <name val="Calibri"/>
    </font>
    <font>
      <i/>
      <color rgb="FF666666"/>
      <sz val="9"/>
      <name val="Calibri"/>
    </font>
    <font>
      <b/>
      <color rgb="FF333333"/>
      <sz val="11"/>
      <name val="Calibri"/>
    </font>
    <font>
      <sz val="11"/>
      <name val="Calibri"/>
    </font>
    <font>
      <color rgb="FF1F4E79"/>
      <sz val="11"/>
      <name val="Calibri"/>
    </font>
    <font>
      <i/>
      <color rgb="FF444444"/>
      <sz val="9"/>
      <name val="Calibri"/>
    </font>
    <font>
      <b/>
      <color rgb="FFFFFFFF"/>
      <sz val="14"/>
      <name val="Calibri"/>
    </font>
    <font>
      <b/>
      <sz val="12"/>
      <name val="Calibri"/>
    </font>
    <font>
      <b/>
      <color rgb="FF666666"/>
      <sz val="9"/>
      <name val="Calibri"/>
    </font>
    <font>
      <b/>
      <sz val="11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1" fontId="7" fillId="0" borderId="0" xfId="0" applyNumberFormat="1" applyFont="1"/>
    <xf numFmtId="0" fontId="8" fillId="0" borderId="0" xfId="0" applyFont="1" applyAlignment="1">
      <alignment vertical="center" wrapText="1"/>
    </xf>
    <xf numFmtId="49" fontId="7" fillId="0" borderId="0" xfId="0" applyNumberFormat="1" applyFont="1"/>
    <xf numFmtId="3" fontId="7" fillId="0" borderId="0" xfId="0" applyNumberFormat="1" applyFont="1"/>
    <xf numFmtId="10" fontId="7" fillId="0" borderId="0" xfId="0" applyNumberFormat="1" applyFont="1"/>
    <xf numFmtId="10" fontId="7" fillId="4" borderId="0" xfId="0" applyNumberFormat="1" applyFont="1" applyFill="1"/>
    <xf numFmtId="0" fontId="9" fillId="5" borderId="0" xfId="0" applyFont="1" applyFill="1" applyAlignment="1">
      <alignment vertical="center"/>
    </xf>
    <xf numFmtId="3" fontId="0" fillId="0" borderId="0" xfId="0" applyNumberFormat="1"/>
    <xf numFmtId="1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3" fillId="0" borderId="0" xfId="0" applyNumberFormat="1" applyFont="1"/>
    <xf numFmtId="0" fontId="10" fillId="0" borderId="0" xfId="0" applyFont="1"/>
    <xf numFmtId="0" fontId="11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10" fontId="6" fillId="0" borderId="0" xfId="0" applyNumberFormat="1" applyFont="1"/>
    <xf numFmtId="0" fontId="12" fillId="0" borderId="0" xfId="0" applyFont="1"/>
    <xf numFmtId="0" fontId="13" fillId="0" borderId="0" xfId="0" applyFont="1"/>
    <xf numFmtId="3" fontId="13" fillId="0" borderId="0" xfId="0" applyNumberFormat="1" applyFont="1"/>
  </cellXfs>
  <cellStyles count="1">
    <cellStyle name="Normal" xfId="0" builtinId="0"/>
  </cellStyles>
  <dxfs count="2">
    <dxf>
      <fill>
        <patternFill patternType="solid">
          <bgColor rgb="FFFFC7CE"/>
        </patternFill>
      </fill>
    </dxf>
    <dxf>
      <font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C74"/>
  <sheetFormatPr defaultRowHeight="15" outlineLevelRow="0" outlineLevelCol="0" x14ac:dyDescent="55"/>
  <cols>
    <col min="1" max="1" width="28" customWidth="1"/>
    <col min="2" max="2" width="18" customWidth="1"/>
    <col min="3" max="3" width="44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4" t="s">
        <v>3</v>
      </c>
    </row>
    <row r="6" spans="1:3" x14ac:dyDescent="0.25">
      <c r="A6" s="5" t="s">
        <v>4</v>
      </c>
      <c r="B6" s="5"/>
      <c r="C6" s="5"/>
    </row>
    <row r="7" spans="1:3" x14ac:dyDescent="0.25">
      <c r="A7" s="6" t="s">
        <v>5</v>
      </c>
      <c r="B7" s="7">
        <v>34</v>
      </c>
      <c r="C7" s="8" t="s">
        <v>6</v>
      </c>
    </row>
    <row r="8" spans="1:3" x14ac:dyDescent="0.25">
      <c r="A8" s="6" t="s">
        <v>7</v>
      </c>
      <c r="B8" s="7">
        <v>65</v>
      </c>
      <c r="C8" s="8" t="s">
        <v>8</v>
      </c>
    </row>
    <row r="9" spans="1:3" x14ac:dyDescent="0.25">
      <c r="A9" s="6" t="s">
        <v>9</v>
      </c>
      <c r="B9" s="7">
        <v>90</v>
      </c>
      <c r="C9" s="8" t="s">
        <v>10</v>
      </c>
    </row>
    <row r="10" spans="1:3" x14ac:dyDescent="0.25">
      <c r="A10" s="6" t="s">
        <v>11</v>
      </c>
      <c r="B10" s="9" t="s">
        <v>12</v>
      </c>
      <c r="C10" s="8" t="s">
        <v>13</v>
      </c>
    </row>
    <row r="12" spans="1:3" x14ac:dyDescent="0.25">
      <c r="A12" s="5" t="s">
        <v>14</v>
      </c>
      <c r="B12" s="5"/>
      <c r="C12" s="5"/>
    </row>
    <row r="13" spans="1:3" x14ac:dyDescent="0.25">
      <c r="A13" s="6" t="s">
        <v>15</v>
      </c>
      <c r="B13" s="10">
        <v>100000</v>
      </c>
      <c r="C13" s="8" t="s">
        <v>16</v>
      </c>
    </row>
    <row r="14" spans="1:3" x14ac:dyDescent="0.25">
      <c r="A14" s="6" t="s">
        <v>17</v>
      </c>
      <c r="B14" s="7">
        <v>1</v>
      </c>
      <c r="C14" s="8" t="s">
        <v>18</v>
      </c>
    </row>
    <row r="16" spans="1:3" x14ac:dyDescent="0.25">
      <c r="A16" s="5" t="s">
        <v>19</v>
      </c>
      <c r="B16" s="5"/>
      <c r="C16" s="5"/>
    </row>
    <row r="17" spans="1:3" x14ac:dyDescent="0.25">
      <c r="A17" s="6" t="s">
        <v>20</v>
      </c>
      <c r="B17" s="10">
        <v>1365</v>
      </c>
      <c r="C17" s="8" t="s">
        <v>21</v>
      </c>
    </row>
    <row r="18" spans="1:3" x14ac:dyDescent="0.25">
      <c r="A18" s="6" t="s">
        <v>22</v>
      </c>
      <c r="B18" s="7">
        <v>65</v>
      </c>
      <c r="C18" s="8" t="s">
        <v>23</v>
      </c>
    </row>
    <row r="19" spans="1:3" x14ac:dyDescent="0.25">
      <c r="A19" s="6" t="s">
        <v>24</v>
      </c>
      <c r="B19" s="10">
        <v>713</v>
      </c>
      <c r="C19" s="8" t="s">
        <v>25</v>
      </c>
    </row>
    <row r="20" spans="1:3" x14ac:dyDescent="0.25">
      <c r="A20" s="6" t="s">
        <v>26</v>
      </c>
      <c r="B20" s="7">
        <v>65</v>
      </c>
      <c r="C20" s="8" t="s">
        <v>27</v>
      </c>
    </row>
    <row r="22" spans="1:3" x14ac:dyDescent="0.25">
      <c r="A22" s="5" t="s">
        <v>28</v>
      </c>
      <c r="B22" s="5"/>
      <c r="C22" s="5"/>
    </row>
    <row r="23" spans="1:3" x14ac:dyDescent="0.25">
      <c r="A23" s="6" t="s">
        <v>29</v>
      </c>
      <c r="B23" s="9" t="s">
        <v>30</v>
      </c>
      <c r="C23" s="8" t="s">
        <v>31</v>
      </c>
    </row>
    <row r="24" spans="1:3" x14ac:dyDescent="0.25">
      <c r="A24" s="6" t="s">
        <v>32</v>
      </c>
      <c r="B24" s="10">
        <v>0</v>
      </c>
      <c r="C24" s="8" t="s">
        <v>33</v>
      </c>
    </row>
    <row r="25" spans="1:3" x14ac:dyDescent="0.25">
      <c r="A25" s="6" t="s">
        <v>34</v>
      </c>
      <c r="B25" s="7">
        <v>65</v>
      </c>
      <c r="C25" s="8" t="s">
        <v>35</v>
      </c>
    </row>
    <row r="26" spans="1:3" x14ac:dyDescent="0.25">
      <c r="A26" s="6" t="s">
        <v>36</v>
      </c>
      <c r="B26" s="7">
        <v>0</v>
      </c>
      <c r="C26" s="8" t="s">
        <v>37</v>
      </c>
    </row>
    <row r="28" spans="1:3" x14ac:dyDescent="0.25">
      <c r="A28" s="5" t="s">
        <v>38</v>
      </c>
      <c r="B28" s="5"/>
      <c r="C28" s="5"/>
    </row>
    <row r="29" spans="1:3" x14ac:dyDescent="0.25">
      <c r="A29" s="6" t="s">
        <v>39</v>
      </c>
      <c r="B29" s="10">
        <v>200000</v>
      </c>
      <c r="C29" s="8" t="s">
        <v>40</v>
      </c>
    </row>
    <row r="30" spans="1:3" x14ac:dyDescent="0.25">
      <c r="A30" s="6" t="s">
        <v>41</v>
      </c>
      <c r="B30" s="10">
        <v>80000</v>
      </c>
      <c r="C30" s="8" t="s">
        <v>42</v>
      </c>
    </row>
    <row r="31" spans="1:3" x14ac:dyDescent="0.25">
      <c r="A31" s="6" t="s">
        <v>43</v>
      </c>
      <c r="B31" s="10">
        <v>10000</v>
      </c>
      <c r="C31" s="8" t="s">
        <v>44</v>
      </c>
    </row>
    <row r="32" spans="1:3" x14ac:dyDescent="0.25">
      <c r="A32" s="6" t="s">
        <v>45</v>
      </c>
      <c r="B32" s="10">
        <v>10000</v>
      </c>
      <c r="C32" s="8" t="s">
        <v>46</v>
      </c>
    </row>
    <row r="33" spans="1:3" x14ac:dyDescent="0.25">
      <c r="A33" s="6" t="s">
        <v>47</v>
      </c>
      <c r="B33" s="10">
        <v>0</v>
      </c>
      <c r="C33" s="8" t="s">
        <v>48</v>
      </c>
    </row>
    <row r="35" spans="1:3" x14ac:dyDescent="0.25">
      <c r="A35" s="5" t="s">
        <v>49</v>
      </c>
      <c r="B35" s="5"/>
      <c r="C35" s="5"/>
    </row>
    <row r="36" spans="1:3" x14ac:dyDescent="0.25">
      <c r="A36" s="6" t="s">
        <v>50</v>
      </c>
      <c r="B36" s="10">
        <v>800000</v>
      </c>
      <c r="C36" s="8" t="s">
        <v>51</v>
      </c>
    </row>
    <row r="37" spans="1:3" x14ac:dyDescent="0.25">
      <c r="A37" s="6" t="s">
        <v>52</v>
      </c>
      <c r="B37" s="7">
        <v>1</v>
      </c>
      <c r="C37" s="8" t="s">
        <v>53</v>
      </c>
    </row>
    <row r="38" spans="1:3" x14ac:dyDescent="0.25">
      <c r="A38" s="6" t="s">
        <v>54</v>
      </c>
      <c r="B38" s="10">
        <v>0</v>
      </c>
      <c r="C38" s="8" t="s">
        <v>55</v>
      </c>
    </row>
    <row r="40" spans="1:3" x14ac:dyDescent="0.25">
      <c r="A40" s="5" t="s">
        <v>56</v>
      </c>
      <c r="B40" s="5"/>
      <c r="C40" s="5"/>
    </row>
    <row r="41" spans="1:3" x14ac:dyDescent="0.25">
      <c r="A41" s="6" t="s">
        <v>57</v>
      </c>
      <c r="B41" s="10">
        <v>400000</v>
      </c>
      <c r="C41" s="8" t="s">
        <v>58</v>
      </c>
    </row>
    <row r="42" spans="1:3" x14ac:dyDescent="0.25">
      <c r="A42" s="6" t="s">
        <v>59</v>
      </c>
      <c r="B42" s="11">
        <v>0.04</v>
      </c>
      <c r="C42" s="8" t="s">
        <v>60</v>
      </c>
    </row>
    <row r="43" spans="1:3" x14ac:dyDescent="0.25">
      <c r="A43" s="6" t="s">
        <v>61</v>
      </c>
      <c r="B43" s="7">
        <v>20</v>
      </c>
      <c r="C43" s="8" t="s">
        <v>62</v>
      </c>
    </row>
    <row r="44" spans="1:3" x14ac:dyDescent="0.25">
      <c r="A44" s="6" t="s">
        <v>63</v>
      </c>
      <c r="B44" s="10">
        <v>0</v>
      </c>
      <c r="C44" s="8" t="s">
        <v>64</v>
      </c>
    </row>
    <row r="45" spans="1:3" x14ac:dyDescent="0.25">
      <c r="A45" s="6" t="s">
        <v>65</v>
      </c>
      <c r="B45" s="11">
        <v>0.08</v>
      </c>
      <c r="C45" s="8" t="s">
        <v>66</v>
      </c>
    </row>
    <row r="46" spans="1:3" x14ac:dyDescent="0.25">
      <c r="A46" s="6" t="s">
        <v>67</v>
      </c>
      <c r="B46" s="7">
        <v>70</v>
      </c>
      <c r="C46" s="8" t="s">
        <v>68</v>
      </c>
    </row>
    <row r="47" spans="1:3" x14ac:dyDescent="0.25">
      <c r="A47" s="6" t="s">
        <v>69</v>
      </c>
      <c r="B47" s="10">
        <v>0</v>
      </c>
      <c r="C47" s="8" t="s">
        <v>70</v>
      </c>
    </row>
    <row r="48" spans="1:3" x14ac:dyDescent="0.25">
      <c r="A48" s="6" t="s">
        <v>71</v>
      </c>
      <c r="B48" s="11">
        <v>0</v>
      </c>
      <c r="C48" s="8" t="s">
        <v>72</v>
      </c>
    </row>
    <row r="49" spans="1:3" x14ac:dyDescent="0.25">
      <c r="A49" s="6" t="s">
        <v>73</v>
      </c>
      <c r="B49" s="7">
        <v>70</v>
      </c>
      <c r="C49" s="8" t="s">
        <v>74</v>
      </c>
    </row>
    <row r="51" spans="1:3" x14ac:dyDescent="0.25">
      <c r="A51" s="5" t="s">
        <v>75</v>
      </c>
      <c r="B51" s="5"/>
      <c r="C51" s="5"/>
    </row>
    <row r="52" spans="1:3" x14ac:dyDescent="0.25">
      <c r="A52" s="6" t="s">
        <v>76</v>
      </c>
      <c r="B52" s="10">
        <v>3000</v>
      </c>
      <c r="C52" s="8" t="s">
        <v>77</v>
      </c>
    </row>
    <row r="53" spans="1:3" x14ac:dyDescent="0.25">
      <c r="A53" s="6" t="s">
        <v>78</v>
      </c>
      <c r="B53" s="12">
        <v>0.1</v>
      </c>
      <c r="C53" s="8" t="s">
        <v>79</v>
      </c>
    </row>
    <row r="54" spans="1:3" x14ac:dyDescent="0.25">
      <c r="A54" s="6" t="s">
        <v>80</v>
      </c>
      <c r="B54" s="12">
        <v>0.025</v>
      </c>
      <c r="C54" s="8" t="s">
        <v>81</v>
      </c>
    </row>
    <row r="55" spans="1:3" x14ac:dyDescent="0.25">
      <c r="A55" s="6" t="s">
        <v>82</v>
      </c>
      <c r="B55" s="12">
        <v>0.04</v>
      </c>
      <c r="C55" s="8" t="s">
        <v>83</v>
      </c>
    </row>
    <row r="56" spans="1:3" x14ac:dyDescent="0.25">
      <c r="A56" s="6" t="s">
        <v>84</v>
      </c>
      <c r="B56" s="12">
        <v>0.04</v>
      </c>
      <c r="C56" s="8" t="s">
        <v>85</v>
      </c>
    </row>
    <row r="57" spans="1:3" x14ac:dyDescent="0.25">
      <c r="A57" s="6" t="s">
        <v>86</v>
      </c>
      <c r="B57" s="12">
        <v>0.04</v>
      </c>
      <c r="C57" s="8" t="s">
        <v>87</v>
      </c>
    </row>
    <row r="59" spans="1:3" x14ac:dyDescent="0.25">
      <c r="A59" s="5" t="s">
        <v>88</v>
      </c>
      <c r="B59" s="5"/>
      <c r="C59" s="5"/>
    </row>
    <row r="60" spans="1:3" x14ac:dyDescent="0.25">
      <c r="A60" s="6" t="s">
        <v>89</v>
      </c>
      <c r="B60" s="9" t="s">
        <v>90</v>
      </c>
      <c r="C60" s="8" t="s">
        <v>91</v>
      </c>
    </row>
    <row r="61" spans="1:3" x14ac:dyDescent="0.25">
      <c r="A61" s="6" t="s">
        <v>92</v>
      </c>
      <c r="B61" s="7">
        <v>0</v>
      </c>
      <c r="C61" s="8" t="s">
        <v>93</v>
      </c>
    </row>
    <row r="62" spans="1:3" x14ac:dyDescent="0.25">
      <c r="A62" s="6" t="s">
        <v>94</v>
      </c>
      <c r="B62" s="7">
        <v>65</v>
      </c>
      <c r="C62" s="8" t="s">
        <v>95</v>
      </c>
    </row>
    <row r="63" spans="1:3" x14ac:dyDescent="0.25">
      <c r="A63" s="6" t="s">
        <v>96</v>
      </c>
      <c r="B63" s="7">
        <v>71</v>
      </c>
      <c r="C63" s="8" t="s">
        <v>97</v>
      </c>
    </row>
    <row r="64" spans="1:3" x14ac:dyDescent="0.25">
      <c r="A64" s="6" t="s">
        <v>98</v>
      </c>
      <c r="B64" s="10">
        <v>0</v>
      </c>
      <c r="C64" s="8" t="s">
        <v>99</v>
      </c>
    </row>
    <row r="66" spans="1:3" x14ac:dyDescent="0.25">
      <c r="A66" s="5" t="s">
        <v>100</v>
      </c>
      <c r="B66" s="5"/>
      <c r="C66" s="5"/>
    </row>
    <row r="67" spans="1:3" x14ac:dyDescent="0.25">
      <c r="A67" s="6" t="s">
        <v>101</v>
      </c>
      <c r="B67" s="11">
        <v>0.5</v>
      </c>
      <c r="C67" s="8" t="s">
        <v>102</v>
      </c>
    </row>
    <row r="68" spans="1:3" x14ac:dyDescent="0.25">
      <c r="A68" s="6" t="s">
        <v>103</v>
      </c>
      <c r="B68" s="10">
        <v>7000</v>
      </c>
      <c r="C68" s="8" t="s">
        <v>104</v>
      </c>
    </row>
    <row r="69" spans="1:3" x14ac:dyDescent="0.25">
      <c r="A69" s="6" t="s">
        <v>105</v>
      </c>
      <c r="B69" s="10">
        <v>93454</v>
      </c>
      <c r="C69" s="8" t="s">
        <v>106</v>
      </c>
    </row>
    <row r="70" spans="1:3" x14ac:dyDescent="0.25">
      <c r="A70" s="6" t="s">
        <v>107</v>
      </c>
      <c r="B70" s="11">
        <v>0.15</v>
      </c>
      <c r="C70" s="8" t="s">
        <v>108</v>
      </c>
    </row>
    <row r="71" spans="1:3" x14ac:dyDescent="0.25">
      <c r="A71" s="6" t="s">
        <v>109</v>
      </c>
      <c r="B71" s="10">
        <v>8881</v>
      </c>
      <c r="C71" s="8" t="s">
        <v>110</v>
      </c>
    </row>
    <row r="73" spans="1:1" x14ac:dyDescent="0.25">
      <c r="A73" s="3" t="s">
        <v>111</v>
      </c>
    </row>
    <row r="74" spans="1:1" x14ac:dyDescent="0.25">
      <c r="A74" s="3" t="s">
        <v>112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4"/>
  <sheetViews>
    <sheetView workbookViewId="0">
      <pane ySplit="22" topLeftCell="A2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6" customWidth="1"/>
    <col min="5" max="5" width="14" customWidth="1"/>
  </cols>
  <sheetData>
    <row r="1" spans="1:5" x14ac:dyDescent="0.25">
      <c r="A1" s="1" t="s">
        <v>113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ht="22" customHeight="1" spans="1:5" x14ac:dyDescent="0.25">
      <c r="A4" s="13" t="s">
        <v>114</v>
      </c>
      <c r="B4" s="13"/>
      <c r="C4" s="13"/>
      <c r="D4" s="13"/>
      <c r="E4" s="13"/>
    </row>
    <row r="5" spans="1:2" x14ac:dyDescent="0.25">
      <c r="A5" s="6" t="s">
        <v>115</v>
      </c>
      <c r="B5" s="14">
        <f>Assumptions_CppMonthly</f>
      </c>
    </row>
    <row r="6" spans="1:2" x14ac:dyDescent="0.25">
      <c r="A6" s="6" t="s">
        <v>116</v>
      </c>
      <c r="B6" s="15">
        <f>Assumptions_CppStartAge</f>
      </c>
    </row>
    <row r="7" spans="1:2" x14ac:dyDescent="0.25">
      <c r="A7" s="6" t="s">
        <v>117</v>
      </c>
      <c r="B7" s="15">
        <f>(Assumptions_CppStartAge-65)*12</f>
      </c>
    </row>
    <row r="8" spans="1:2" x14ac:dyDescent="0.25">
      <c r="A8" s="6" t="s">
        <v>118</v>
      </c>
      <c r="B8" s="16">
        <f>CppEarlyReduction</f>
      </c>
    </row>
    <row r="9" spans="1:2" x14ac:dyDescent="0.25">
      <c r="A9" s="6" t="s">
        <v>119</v>
      </c>
      <c r="B9" s="16">
        <f>CppLateIncrease</f>
      </c>
    </row>
    <row r="10" spans="1:2" x14ac:dyDescent="0.25">
      <c r="A10" s="6" t="s">
        <v>120</v>
      </c>
      <c r="B10" s="17">
        <f>IF((Assumptions_CppStartAge-65)*12&lt;0, 1+(Assumptions_CppStartAge-65)*12*CppEarlyReduction, 1+(Assumptions_CppStartAge-65)*12*CppLateIncrease)</f>
      </c>
    </row>
    <row r="11" spans="1:2" x14ac:dyDescent="0.25">
      <c r="A11" s="6" t="s">
        <v>121</v>
      </c>
      <c r="B11" s="14">
        <f>Assumptions_CppMonthly*12*IF((Assumptions_CppStartAge-65)*12&lt;0, 1+(Assumptions_CppStartAge-65)*12*CppEarlyReduction, 1+(Assumptions_CppStartAge-65)*12*CppLateIncrease)</f>
      </c>
    </row>
    <row r="13" ht="22" customHeight="1" spans="1:5" x14ac:dyDescent="0.25">
      <c r="A13" s="13" t="s">
        <v>122</v>
      </c>
      <c r="B13" s="13"/>
      <c r="C13" s="13"/>
      <c r="D13" s="13"/>
      <c r="E13" s="13"/>
    </row>
    <row r="14" spans="1:2" x14ac:dyDescent="0.25">
      <c r="A14" s="6" t="s">
        <v>115</v>
      </c>
      <c r="B14" s="14">
        <f>Assumptions_OasMonthly</f>
      </c>
    </row>
    <row r="15" spans="1:2" x14ac:dyDescent="0.25">
      <c r="A15" s="6" t="s">
        <v>116</v>
      </c>
      <c r="B15" s="15">
        <f>Assumptions_OasStartAge</f>
      </c>
    </row>
    <row r="16" spans="1:2" x14ac:dyDescent="0.25">
      <c r="A16" s="6" t="s">
        <v>123</v>
      </c>
      <c r="B16" s="15">
        <f>MAX(0,MIN(Assumptions_OasStartAge,OasMaxDeferAge)-OasStdStartAge)</f>
      </c>
    </row>
    <row r="17" spans="1:2" x14ac:dyDescent="0.25">
      <c r="A17" s="6" t="s">
        <v>124</v>
      </c>
      <c r="B17" s="16">
        <f>OasDeferralBonus</f>
      </c>
    </row>
    <row r="18" spans="1:2" x14ac:dyDescent="0.25">
      <c r="A18" s="6" t="s">
        <v>125</v>
      </c>
      <c r="B18" s="17">
        <f>1+MAX(0,MIN(Assumptions_OasStartAge,OasMaxDeferAge)-OasStdStartAge)*12*OasDeferralBonus</f>
      </c>
    </row>
    <row r="19" spans="1:2" x14ac:dyDescent="0.25">
      <c r="A19" s="6" t="s">
        <v>121</v>
      </c>
      <c r="B19" s="14">
        <f>Assumptions_OasMonthly*12*(1+MAX(0,MIN(Assumptions_OasStartAge,OasMaxDeferAge)-OasStdStartAge)*12*OasDeferralBonus)</f>
      </c>
    </row>
    <row r="20" spans="1:2" x14ac:dyDescent="0.25">
      <c r="A20" s="6" t="s">
        <v>126</v>
      </c>
      <c r="B20" s="14">
        <f>Assumptions_OasClawbackThresh</f>
      </c>
    </row>
    <row r="22" ht="22" customHeight="1" spans="1:5" x14ac:dyDescent="0.25">
      <c r="A22" s="13" t="s">
        <v>127</v>
      </c>
      <c r="B22" s="13" t="s">
        <v>128</v>
      </c>
      <c r="C22" s="13" t="s">
        <v>129</v>
      </c>
      <c r="D22" s="13" t="s">
        <v>130</v>
      </c>
      <c r="E22" s="13" t="s">
        <v>131</v>
      </c>
    </row>
    <row r="23" spans="1:5" x14ac:dyDescent="0.25">
      <c r="A23" s="15">
        <v>34</v>
      </c>
      <c r="B23" s="14">
        <f>'Projection'!F6</f>
      </c>
      <c r="C23" s="18">
        <v>0</v>
      </c>
      <c r="D23" s="14">
        <f>'Projection'!G6</f>
      </c>
      <c r="E23" s="18">
        <v>0</v>
      </c>
    </row>
    <row r="24" spans="1:5" x14ac:dyDescent="0.25">
      <c r="A24" s="15">
        <v>39</v>
      </c>
      <c r="B24" s="14">
        <f>'Projection'!F11</f>
      </c>
      <c r="C24" s="18">
        <v>0</v>
      </c>
      <c r="D24" s="14">
        <f>'Projection'!G11</f>
      </c>
      <c r="E24" s="18">
        <v>0</v>
      </c>
    </row>
    <row r="25" spans="1:5" x14ac:dyDescent="0.25">
      <c r="A25" s="15">
        <v>44</v>
      </c>
      <c r="B25" s="14">
        <f>'Projection'!F16</f>
      </c>
      <c r="C25" s="18">
        <v>0</v>
      </c>
      <c r="D25" s="14">
        <f>'Projection'!G16</f>
      </c>
      <c r="E25" s="18">
        <v>0</v>
      </c>
    </row>
    <row r="26" spans="1:5" x14ac:dyDescent="0.25">
      <c r="A26" s="15">
        <v>49</v>
      </c>
      <c r="B26" s="14">
        <f>'Projection'!F21</f>
      </c>
      <c r="C26" s="18">
        <v>0</v>
      </c>
      <c r="D26" s="14">
        <f>'Projection'!G21</f>
      </c>
      <c r="E26" s="18">
        <v>0</v>
      </c>
    </row>
    <row r="27" spans="1:5" x14ac:dyDescent="0.25">
      <c r="A27" s="15">
        <v>54</v>
      </c>
      <c r="B27" s="14">
        <f>'Projection'!F26</f>
      </c>
      <c r="C27" s="18">
        <v>0</v>
      </c>
      <c r="D27" s="14">
        <f>'Projection'!G26</f>
      </c>
      <c r="E27" s="18">
        <v>0</v>
      </c>
    </row>
    <row r="28" spans="1:5" x14ac:dyDescent="0.25">
      <c r="A28" s="15">
        <v>59</v>
      </c>
      <c r="B28" s="14">
        <f>'Projection'!F31</f>
      </c>
      <c r="C28" s="18">
        <v>0</v>
      </c>
      <c r="D28" s="14">
        <f>'Projection'!G31</f>
      </c>
      <c r="E28" s="18">
        <v>0</v>
      </c>
    </row>
    <row r="29" spans="1:5" x14ac:dyDescent="0.25">
      <c r="A29" s="15">
        <v>64</v>
      </c>
      <c r="B29" s="14">
        <f>'Projection'!F36</f>
      </c>
      <c r="C29" s="18">
        <v>0</v>
      </c>
      <c r="D29" s="14">
        <f>'Projection'!G36</f>
      </c>
      <c r="E29" s="18">
        <v>0</v>
      </c>
    </row>
    <row r="30" spans="1:5" x14ac:dyDescent="0.25">
      <c r="A30" s="15">
        <v>65</v>
      </c>
      <c r="B30" s="14">
        <f>'Projection'!F37</f>
      </c>
      <c r="C30" s="18">
        <v>35217</v>
      </c>
      <c r="D30" s="14">
        <f>'Projection'!G37</f>
      </c>
      <c r="E30" s="18">
        <v>18395</v>
      </c>
    </row>
    <row r="31" spans="1:5" x14ac:dyDescent="0.25">
      <c r="A31" s="15">
        <v>69</v>
      </c>
      <c r="B31" s="14">
        <f>'Projection'!F41</f>
      </c>
      <c r="C31" s="18">
        <v>38873</v>
      </c>
      <c r="D31" s="14">
        <f>'Projection'!G41</f>
      </c>
      <c r="E31" s="18">
        <v>20305</v>
      </c>
    </row>
    <row r="32" spans="1:5" x14ac:dyDescent="0.25">
      <c r="A32" s="15">
        <v>74</v>
      </c>
      <c r="B32" s="14">
        <f>'Projection'!F46</f>
      </c>
      <c r="C32" s="18">
        <v>43981</v>
      </c>
      <c r="D32" s="14">
        <f>'Projection'!G46</f>
      </c>
      <c r="E32" s="18">
        <v>19650</v>
      </c>
    </row>
    <row r="33" spans="1:5" x14ac:dyDescent="0.25">
      <c r="A33" s="15">
        <v>79</v>
      </c>
      <c r="B33" s="14">
        <f>'Projection'!F51</f>
      </c>
      <c r="C33" s="18">
        <v>49761</v>
      </c>
      <c r="D33" s="14">
        <f>'Projection'!G51</f>
      </c>
      <c r="E33" s="18">
        <v>21085</v>
      </c>
    </row>
    <row r="34" spans="1:5" x14ac:dyDescent="0.25">
      <c r="A34" s="15">
        <v>84</v>
      </c>
      <c r="B34" s="14">
        <f>'Projection'!F56</f>
      </c>
      <c r="C34" s="18">
        <v>56300</v>
      </c>
      <c r="D34" s="14">
        <f>'Projection'!G56</f>
      </c>
      <c r="E34" s="18">
        <v>22758</v>
      </c>
    </row>
    <row r="35" spans="1:5" x14ac:dyDescent="0.25">
      <c r="A35" s="15">
        <v>89</v>
      </c>
      <c r="B35" s="14">
        <f>'Projection'!F61</f>
      </c>
      <c r="C35" s="18">
        <v>63698</v>
      </c>
      <c r="D35" s="14">
        <f>'Projection'!G61</f>
      </c>
      <c r="E35" s="18">
        <v>24709</v>
      </c>
    </row>
    <row r="37" spans="1:1" x14ac:dyDescent="0.25">
      <c r="A37" s="19" t="s">
        <v>132</v>
      </c>
    </row>
    <row r="38" spans="1:2" x14ac:dyDescent="0.25">
      <c r="A38" s="20" t="s">
        <v>115</v>
      </c>
      <c r="B38" s="21" t="s">
        <v>133</v>
      </c>
    </row>
    <row r="39" spans="1:2" x14ac:dyDescent="0.25">
      <c r="A39" s="20" t="s">
        <v>117</v>
      </c>
      <c r="B39" s="21" t="s">
        <v>134</v>
      </c>
    </row>
    <row r="40" spans="1:2" x14ac:dyDescent="0.25">
      <c r="A40" s="20" t="s">
        <v>120</v>
      </c>
      <c r="B40" s="21" t="s">
        <v>135</v>
      </c>
    </row>
    <row r="41" spans="1:2" x14ac:dyDescent="0.25">
      <c r="A41" s="20" t="s">
        <v>121</v>
      </c>
      <c r="B41" s="21" t="s">
        <v>136</v>
      </c>
    </row>
    <row r="42" spans="1:2" x14ac:dyDescent="0.25">
      <c r="A42" s="20" t="s">
        <v>137</v>
      </c>
      <c r="B42" s="21" t="s">
        <v>138</v>
      </c>
    </row>
    <row r="43" spans="1:2" x14ac:dyDescent="0.25">
      <c r="A43" s="20" t="s">
        <v>128</v>
      </c>
      <c r="B43" s="21" t="s">
        <v>139</v>
      </c>
    </row>
    <row r="44" spans="1:2" x14ac:dyDescent="0.25">
      <c r="A44" s="20" t="s">
        <v>129</v>
      </c>
      <c r="B44" s="21" t="s">
        <v>140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6" customWidth="1"/>
    <col min="5" max="5" width="18" customWidth="1"/>
    <col min="6" max="6" width="16" customWidth="1"/>
    <col min="7" max="7" width="14" customWidth="1"/>
  </cols>
  <sheetData>
    <row r="1" spans="1:3" x14ac:dyDescent="0.25">
      <c r="A1" s="1" t="s">
        <v>141</v>
      </c>
      <c r="B1" s="1"/>
      <c r="C1" s="1"/>
    </row>
    <row r="2" spans="1:3" x14ac:dyDescent="0.25">
      <c r="A2" s="1"/>
      <c r="B2" s="1"/>
      <c r="C2" s="1"/>
    </row>
    <row r="4" ht="22" customHeight="1" spans="1:3" x14ac:dyDescent="0.25">
      <c r="A4" s="13" t="s">
        <v>142</v>
      </c>
      <c r="B4" s="13" t="s">
        <v>143</v>
      </c>
      <c r="C4" s="13" t="s">
        <v>144</v>
      </c>
    </row>
    <row r="5" spans="1:3" x14ac:dyDescent="0.25">
      <c r="A5" s="14">
        <v>0</v>
      </c>
      <c r="B5" s="14">
        <v>57375</v>
      </c>
      <c r="C5" s="16">
        <v>0.145</v>
      </c>
    </row>
    <row r="6" spans="1:3" x14ac:dyDescent="0.25">
      <c r="A6" s="14">
        <v>57375</v>
      </c>
      <c r="B6" s="14">
        <v>114750</v>
      </c>
      <c r="C6" s="16">
        <v>0.205</v>
      </c>
    </row>
    <row r="7" spans="1:3" x14ac:dyDescent="0.25">
      <c r="A7" s="14">
        <v>114750</v>
      </c>
      <c r="B7" s="14">
        <v>177882</v>
      </c>
      <c r="C7" s="16">
        <v>0.26</v>
      </c>
    </row>
    <row r="8" spans="1:3" x14ac:dyDescent="0.25">
      <c r="A8" s="14">
        <v>177882</v>
      </c>
      <c r="B8" s="14">
        <v>253414</v>
      </c>
      <c r="C8" s="16">
        <v>0.29</v>
      </c>
    </row>
    <row r="9" spans="1:3" x14ac:dyDescent="0.25">
      <c r="A9" s="14">
        <v>253414</v>
      </c>
      <c r="B9" s="14">
        <v>999999999</v>
      </c>
      <c r="C9" s="16">
        <v>0.33</v>
      </c>
    </row>
    <row r="11" ht="22" customHeight="1" spans="1:3" x14ac:dyDescent="0.25">
      <c r="A11" s="13" t="s">
        <v>145</v>
      </c>
      <c r="B11" s="13" t="s">
        <v>143</v>
      </c>
      <c r="C11" s="13" t="s">
        <v>144</v>
      </c>
    </row>
    <row r="12" spans="1:3" x14ac:dyDescent="0.25">
      <c r="A12" s="14">
        <v>0</v>
      </c>
      <c r="B12" s="14">
        <v>52886</v>
      </c>
      <c r="C12" s="16">
        <v>0.0505</v>
      </c>
    </row>
    <row r="13" spans="1:3" x14ac:dyDescent="0.25">
      <c r="A13" s="14">
        <v>52886</v>
      </c>
      <c r="B13" s="14">
        <v>105775</v>
      </c>
      <c r="C13" s="16">
        <v>0.0915</v>
      </c>
    </row>
    <row r="14" spans="1:3" x14ac:dyDescent="0.25">
      <c r="A14" s="14">
        <v>105775</v>
      </c>
      <c r="B14" s="14">
        <v>150000</v>
      </c>
      <c r="C14" s="16">
        <v>0.1116</v>
      </c>
    </row>
    <row r="15" spans="1:3" x14ac:dyDescent="0.25">
      <c r="A15" s="14">
        <v>150000</v>
      </c>
      <c r="B15" s="14">
        <v>220000</v>
      </c>
      <c r="C15" s="16">
        <v>0.1216</v>
      </c>
    </row>
    <row r="16" spans="1:3" x14ac:dyDescent="0.25">
      <c r="A16" s="14">
        <v>220000</v>
      </c>
      <c r="B16" s="14">
        <v>999999999</v>
      </c>
      <c r="C16" s="16">
        <v>0.1316</v>
      </c>
    </row>
    <row r="18" ht="22" customHeight="1" spans="1:3" x14ac:dyDescent="0.25">
      <c r="A18" s="13" t="s">
        <v>146</v>
      </c>
      <c r="B18" s="13" t="s">
        <v>147</v>
      </c>
      <c r="C18" s="13" t="s">
        <v>12</v>
      </c>
    </row>
    <row r="19" spans="1:3" x14ac:dyDescent="0.25">
      <c r="A19" s="6" t="s">
        <v>148</v>
      </c>
      <c r="B19" s="14">
        <v>16129</v>
      </c>
      <c r="C19" s="14">
        <v>12747</v>
      </c>
    </row>
    <row r="20" spans="1:3" x14ac:dyDescent="0.25">
      <c r="A20" s="6" t="s">
        <v>149</v>
      </c>
      <c r="B20" s="14">
        <v>9028</v>
      </c>
      <c r="C20" s="14">
        <v>6223</v>
      </c>
    </row>
    <row r="21" spans="1:3" x14ac:dyDescent="0.25">
      <c r="A21" s="6" t="s">
        <v>150</v>
      </c>
      <c r="B21" s="14">
        <v>45522</v>
      </c>
      <c r="C21" s="14">
        <v>46330</v>
      </c>
    </row>
    <row r="22" spans="1:3" x14ac:dyDescent="0.25">
      <c r="A22" s="6" t="s">
        <v>151</v>
      </c>
      <c r="B22" s="16">
        <v>0.15</v>
      </c>
      <c r="C22" s="16">
        <v>0.15</v>
      </c>
    </row>
    <row r="23" spans="1:3" x14ac:dyDescent="0.25">
      <c r="A23" s="6" t="s">
        <v>152</v>
      </c>
      <c r="B23" s="14">
        <v>2000</v>
      </c>
      <c r="C23" s="14">
        <v>1762</v>
      </c>
    </row>
    <row r="24" spans="1:3" x14ac:dyDescent="0.25">
      <c r="A24" s="6" t="s">
        <v>153</v>
      </c>
      <c r="B24" s="16">
        <v>0.145</v>
      </c>
      <c r="C24" s="16">
        <v>0.0505</v>
      </c>
    </row>
    <row r="26" ht="22" customHeight="1" spans="1:3" x14ac:dyDescent="0.25">
      <c r="A26" s="13" t="s">
        <v>154</v>
      </c>
      <c r="B26" s="13"/>
      <c r="C26" s="13"/>
    </row>
    <row r="27" spans="1:2" x14ac:dyDescent="0.25">
      <c r="A27" s="6" t="s">
        <v>155</v>
      </c>
      <c r="B27" s="14">
        <v>5710</v>
      </c>
    </row>
    <row r="28" spans="1:2" x14ac:dyDescent="0.25">
      <c r="A28" s="6" t="s">
        <v>156</v>
      </c>
      <c r="B28" s="16">
        <v>0.2</v>
      </c>
    </row>
    <row r="29" spans="1:2" x14ac:dyDescent="0.25">
      <c r="A29" s="6" t="s">
        <v>157</v>
      </c>
      <c r="B29" s="14">
        <v>7307</v>
      </c>
    </row>
    <row r="30" spans="1:2" x14ac:dyDescent="0.25">
      <c r="A30" s="6" t="s">
        <v>158</v>
      </c>
      <c r="B30" s="16">
        <v>0.36</v>
      </c>
    </row>
    <row r="32" ht="22" customHeight="1" spans="1:2" x14ac:dyDescent="0.25">
      <c r="A32" s="13" t="s">
        <v>159</v>
      </c>
      <c r="B32" s="13"/>
    </row>
    <row r="33" spans="1:2" x14ac:dyDescent="0.25">
      <c r="A33" s="6" t="s">
        <v>160</v>
      </c>
      <c r="B33" s="16">
        <v>0.006</v>
      </c>
    </row>
    <row r="34" spans="1:2" x14ac:dyDescent="0.25">
      <c r="A34" s="6" t="s">
        <v>161</v>
      </c>
      <c r="B34" s="16">
        <v>0.007</v>
      </c>
    </row>
    <row r="35" spans="1:2" x14ac:dyDescent="0.25">
      <c r="A35" s="6" t="s">
        <v>162</v>
      </c>
      <c r="B35" s="16">
        <v>0.006</v>
      </c>
    </row>
    <row r="36" spans="1:2" x14ac:dyDescent="0.25">
      <c r="A36" s="6" t="s">
        <v>163</v>
      </c>
      <c r="B36" s="15">
        <v>70</v>
      </c>
    </row>
    <row r="37" spans="1:2" x14ac:dyDescent="0.25">
      <c r="A37" s="6" t="s">
        <v>26</v>
      </c>
      <c r="B37" s="15">
        <v>65</v>
      </c>
    </row>
    <row r="39" spans="1:1" x14ac:dyDescent="0.25">
      <c r="A39" s="19" t="s">
        <v>132</v>
      </c>
    </row>
    <row r="40" spans="1:2" x14ac:dyDescent="0.25">
      <c r="A40" s="20" t="s">
        <v>164</v>
      </c>
      <c r="B40" s="21" t="s">
        <v>165</v>
      </c>
    </row>
    <row r="41" spans="1:2" x14ac:dyDescent="0.25">
      <c r="A41" s="20" t="s">
        <v>166</v>
      </c>
      <c r="B41" s="21" t="s">
        <v>167</v>
      </c>
    </row>
    <row r="42" spans="1:2" x14ac:dyDescent="0.25">
      <c r="A42" s="20" t="s">
        <v>144</v>
      </c>
      <c r="B42" s="21" t="s">
        <v>168</v>
      </c>
    </row>
    <row r="43" spans="1:2" x14ac:dyDescent="0.25">
      <c r="A43" s="20" t="s">
        <v>148</v>
      </c>
      <c r="B43" s="21" t="s">
        <v>169</v>
      </c>
    </row>
    <row r="44" spans="1:2" x14ac:dyDescent="0.25">
      <c r="A44" s="20" t="s">
        <v>149</v>
      </c>
      <c r="B44" s="21" t="s">
        <v>170</v>
      </c>
    </row>
    <row r="45" spans="1:2" x14ac:dyDescent="0.25">
      <c r="A45" s="20" t="s">
        <v>171</v>
      </c>
      <c r="B45" s="21" t="s">
        <v>172</v>
      </c>
    </row>
    <row r="46" spans="1:2" x14ac:dyDescent="0.25">
      <c r="A46" s="20" t="s">
        <v>152</v>
      </c>
      <c r="B46" s="21" t="s">
        <v>173</v>
      </c>
    </row>
    <row r="47" spans="1:2" x14ac:dyDescent="0.25">
      <c r="A47" s="20" t="s">
        <v>153</v>
      </c>
      <c r="B47" s="21" t="s">
        <v>174</v>
      </c>
    </row>
    <row r="48" spans="1:2" x14ac:dyDescent="0.25">
      <c r="A48" s="20" t="s">
        <v>175</v>
      </c>
      <c r="B48" s="21" t="s">
        <v>176</v>
      </c>
    </row>
    <row r="49" spans="1:2" x14ac:dyDescent="0.25">
      <c r="A49" s="20" t="s">
        <v>177</v>
      </c>
      <c r="B49" s="21" t="s">
        <v>178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AS10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6" customWidth="1"/>
    <col min="3" max="3" width="4" customWidth="1"/>
    <col min="4" max="4" width="10" customWidth="1"/>
    <col min="5" max="5" width="14" customWidth="1"/>
    <col min="6" max="11" width="12" customWidth="1"/>
    <col min="12" max="13" width="14" customWidth="1"/>
    <col min="14" max="15" width="12" customWidth="1"/>
    <col min="16" max="16" width="14" customWidth="1"/>
    <col min="17" max="17" width="12" customWidth="1"/>
    <col min="18" max="18" width="14" customWidth="1"/>
    <col min="19" max="23" width="12" customWidth="1"/>
    <col min="24" max="24" width="8" customWidth="1"/>
    <col min="25" max="26" width="14" customWidth="1"/>
    <col min="27" max="30" width="12" customWidth="1"/>
    <col min="31" max="31" width="14" customWidth="1"/>
    <col min="32" max="34" width="12" customWidth="1"/>
    <col min="35" max="35" width="14" customWidth="1"/>
    <col min="36" max="37" width="12" customWidth="1"/>
    <col min="38" max="45" width="14" customWidth="1"/>
  </cols>
  <sheetData>
    <row r="1" spans="1:45" x14ac:dyDescent="0.25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4" spans="1:1" x14ac:dyDescent="0.25">
      <c r="A4" s="2" t="s">
        <v>180</v>
      </c>
    </row>
    <row r="5" ht="22" customHeight="1" spans="1:45" x14ac:dyDescent="0.25">
      <c r="A5" s="13" t="s">
        <v>127</v>
      </c>
      <c r="B5" s="13" t="s">
        <v>181</v>
      </c>
      <c r="C5" s="13" t="s">
        <v>182</v>
      </c>
      <c r="D5" s="13" t="s">
        <v>183</v>
      </c>
      <c r="E5" s="13" t="s">
        <v>184</v>
      </c>
      <c r="F5" s="13" t="s">
        <v>185</v>
      </c>
      <c r="G5" s="13" t="s">
        <v>186</v>
      </c>
      <c r="H5" s="13" t="s">
        <v>28</v>
      </c>
      <c r="I5" s="13" t="s">
        <v>187</v>
      </c>
      <c r="J5" s="13" t="s">
        <v>188</v>
      </c>
      <c r="K5" s="13" t="s">
        <v>189</v>
      </c>
      <c r="L5" s="13" t="s">
        <v>190</v>
      </c>
      <c r="M5" s="13" t="s">
        <v>191</v>
      </c>
      <c r="N5" s="13" t="s">
        <v>192</v>
      </c>
      <c r="O5" s="13" t="s">
        <v>193</v>
      </c>
      <c r="P5" s="13" t="s">
        <v>194</v>
      </c>
      <c r="Q5" s="13" t="s">
        <v>195</v>
      </c>
      <c r="R5" s="13" t="s">
        <v>196</v>
      </c>
      <c r="S5" s="13" t="s">
        <v>197</v>
      </c>
      <c r="T5" s="13" t="s">
        <v>198</v>
      </c>
      <c r="U5" s="13" t="s">
        <v>199</v>
      </c>
      <c r="V5" s="13" t="s">
        <v>200</v>
      </c>
      <c r="W5" s="13" t="s">
        <v>201</v>
      </c>
      <c r="X5" s="13" t="s">
        <v>202</v>
      </c>
      <c r="Y5" s="13" t="s">
        <v>203</v>
      </c>
      <c r="Z5" s="13" t="s">
        <v>204</v>
      </c>
      <c r="AA5" s="13" t="s">
        <v>205</v>
      </c>
      <c r="AB5" s="13" t="s">
        <v>206</v>
      </c>
      <c r="AC5" s="13" t="s">
        <v>207</v>
      </c>
      <c r="AD5" s="13" t="s">
        <v>208</v>
      </c>
      <c r="AE5" s="13" t="s">
        <v>209</v>
      </c>
      <c r="AF5" s="13" t="s">
        <v>210</v>
      </c>
      <c r="AG5" s="13" t="s">
        <v>211</v>
      </c>
      <c r="AH5" s="13" t="s">
        <v>212</v>
      </c>
      <c r="AI5" s="13" t="s">
        <v>213</v>
      </c>
      <c r="AJ5" s="13" t="s">
        <v>214</v>
      </c>
      <c r="AK5" s="13" t="s">
        <v>215</v>
      </c>
      <c r="AL5" s="13" t="s">
        <v>216</v>
      </c>
      <c r="AM5" s="13" t="s">
        <v>217</v>
      </c>
      <c r="AN5" s="13" t="s">
        <v>218</v>
      </c>
      <c r="AO5" s="13" t="s">
        <v>219</v>
      </c>
      <c r="AP5" s="13" t="s">
        <v>220</v>
      </c>
      <c r="AQ5" s="13" t="s">
        <v>221</v>
      </c>
      <c r="AR5" s="13" t="s">
        <v>222</v>
      </c>
      <c r="AS5" s="13" t="s">
        <v>223</v>
      </c>
    </row>
    <row r="6" spans="1:45" x14ac:dyDescent="0.25">
      <c r="A6" s="15">
        <f>Assumptions_CurrentAge</f>
      </c>
      <c r="B6" s="15">
        <f>2026+(A6-Assumptions_CurrentAge)</f>
      </c>
      <c r="C6" s="15">
        <f>IF(A6&gt;=Assumptions_RetirementAge,1,0)</f>
      </c>
      <c r="D6" s="17">
        <f>(1+Assumptions_Inflation)^(A6-Assumptions_CurrentAge)</f>
      </c>
      <c r="E6" s="14">
        <f>IF(AND(C6=0,Assumptions_StillWorking=1),Assumptions_EmploymentIncome*D6,0)</f>
      </c>
      <c r="F6" s="14">
        <f>IF(A6&gt;=Assumptions_CppStartAge, Assumptions_CppMonthly*12*IF((Assumptions_CppStartAge-65)*12&lt;0, 1+(Assumptions_CppStartAge-65)*12*CppEarlyReduction, 1+(Assumptions_CppStartAge-65)*12*CppLateIncrease)*D6, 0)</f>
      </c>
      <c r="G6" s="14">
        <f>IF(A6&gt;=Assumptions_OasStartAge, Assumptions_OasMonthly*12*(1+MAX(0, MIN(Assumptions_OasStartAge, OasMaxDeferAge)-OasStdStartAge)*12*OasDeferralBonus)*D6, 0)</f>
      </c>
      <c r="H6" s="14">
        <f>IF(AND(Assumptions_PensionType="db",A6&gt;=Assumptions_DbPensionStartAge), IF(Assumptions_DbPensionIndexed=1, Assumptions_DbPensionAnnual*D6, Assumptions_DbPensionAnnual), 0)</f>
      </c>
      <c r="I6" s="14">
        <f>IF(AND(A6&gt;=72,Assumptions_RrspBalance&gt;0), VLOOKUP(MIN(A6,95),RrifRates,2,TRUE)*Assumptions_RrspBalance, 0)</f>
      </c>
      <c r="J6" s="14">
        <f>IF(AND(Assumptions_MeltdownEnabled=1,A6&gt;=Assumptions_MeltdownStartAge,A6&lt;Assumptions_MeltdownTargetAge), MIN(Assumptions_MeltdownAnnual,Assumptions_RrspBalance), 0)</f>
      </c>
      <c r="K6" s="14">
        <f>MIN(MAX(I6,J6),Assumptions_RrspBalance)</f>
      </c>
      <c r="L6" s="14">
        <f>E6+F6+G6+H6+K6</f>
      </c>
      <c r="M6" s="14">
        <f>IF(C6=1, Assumptions_MonthlyExpenses*12*(1-Assumptions_ExpenseReduction), Assumptions_MonthlyExpenses*12)*D6</f>
      </c>
      <c r="N6" s="14">
        <f>IF(AND(Assumptions_MortgageBalance&gt;0, (A6-Assumptions_CurrentAge)&lt;Assumptions_MortgageYears), IF(Assumptions_MortgageRate=0, Assumptions_MortgageBalance/MAX(1,Assumptions_MortgageYears-(A6-Assumptions_CurrentAge)), Assumptions_MortgageBalance*Assumptions_MortgageRate*(1+Assumptions_MortgageRate)^MAX(1,Assumptions_MortgageYears-(A6-Assumptions_CurrentAge))/((1+Assumptions_MortgageRate)^MAX(1,Assumptions_MortgageYears-(A6-Assumptions_CurrentAge))-1)), 0)</f>
      </c>
      <c r="O6" s="14">
        <f>IF(AND(Assumptions_ConsumerDebt&gt;0, A6&lt;Assumptions_ConsumerPayoffAge), IF(Assumptions_ConsumerDebtRate=0, Assumptions_ConsumerDebt/MAX(1,Assumptions_ConsumerPayoffAge-Assumptions_CurrentAge-(A6-Assumptions_CurrentAge)), Assumptions_ConsumerDebt*Assumptions_ConsumerDebtRate*(1+Assumptions_ConsumerDebtRate)^MAX(1,Assumptions_ConsumerPayoffAge-Assumptions_CurrentAge-(A6-Assumptions_CurrentAge))/((1+Assumptions_ConsumerDebtRate)^MAX(1,Assumptions_ConsumerPayoffAge-Assumptions_CurrentAge-(A6-Assumptions_CurrentAge))-1)), 0)+IF(AND(Assumptions_OtherDebt&gt;0, A6&lt;Assumptions_OtherPayoffAge), IF(Assumptions_OtherDebtRate=0, Assumptions_OtherDebt/MAX(1,Assumptions_OtherPayoffAge-Assumptions_CurrentAge-(A6-Assumptions_CurrentAge)), Assumptions_OtherDebt*Assumptions_OtherDebtRate*(1+Assumptions_OtherDebtRate)^MAX(1,Assumptions_OtherPayoffAge-Assumptions_CurrentAge-(A6-Assumptions_CurrentAge))/((1+Assumptions_OtherDebtRate)^MAX(1,Assumptions_OtherPayoffAge-Assumptions_CurrentAge-(A6-Assumptions_CurrentAge))-1)), 0)</f>
      </c>
      <c r="P6" s="14">
        <f>M6+N6+O6</f>
      </c>
      <c r="Q6" s="14">
        <f>IF(L6&lt;=0, 0, MAX(0, SUMPRODUCT(MAX(MIN(L6,FedBracketMax)-FedBracketMin,0)*FedBracketRate) - (FedBasicPersonal + IF(A6&gt;=65, MAX(0, FedAgeAmount - MAX(0, L6-FedAgeThreshold)*FedAgeClawRate), 0) + IF(OR(H6&gt;0, I6&gt;0), FedPensionCredit, 0)) * FedCreditRate))</f>
      </c>
      <c r="R6" s="14">
        <f>L6-Q6</f>
      </c>
      <c r="S6" s="14">
        <f>MAX(0,P6-R6)</f>
      </c>
      <c r="T6" s="14">
        <f>MIN(S6,Assumptions_TfsaBalance)</f>
      </c>
      <c r="U6" s="14">
        <f>MAX(0,S6-T6)</f>
      </c>
      <c r="V6" s="14">
        <f>MIN(U6,Assumptions_NonRegBalance)</f>
      </c>
      <c r="W6" s="14">
        <f>MAX(0,U6-V6)</f>
      </c>
      <c r="X6" s="16">
        <f>INDEX(FedBracketRate,MATCH(L6,FedBracketMin,1))+INDEX(ProvBracketRate,MATCH(L6,ProvBracketMin,1))</f>
      </c>
      <c r="Y6" s="14">
        <f>IF(W6&gt;0, MIN(IF(X6&gt;=1, W6, W6/(1-X6)), MAX(0,Assumptions_RrspBalance-K6)), 0)</f>
      </c>
      <c r="Z6" s="14">
        <f>K6+Y6</f>
      </c>
      <c r="AA6" s="14">
        <f>IF(W6&gt;Y6*(1-X6), MIN(MAX(0,W6-Y6*(1-X6)),Assumptions_OtherAssets), 0)</f>
      </c>
      <c r="AB6" s="14">
        <f>MIN(Assumptions_OasMaxAnnual, MAX(0,(E6+F6+G6+H6+Z6-Assumptions_OasClawbackThresh)*Assumptions_OasClawbackRate))</f>
      </c>
      <c r="AC6" s="14">
        <f>MAX(0,G6-AB6)</f>
      </c>
      <c r="AD6" s="14">
        <f>V6*IF(Assumptions_NonRegBalance&gt;0, MAX(0,1-Assumptions_NonRegCostBasis/Assumptions_NonRegBalance), 0)*Assumptions_CapGainsRate</f>
      </c>
      <c r="AE6" s="14">
        <f>E6+F6+AC6+H6+Z6+AD6</f>
      </c>
      <c r="AF6" s="14">
        <f>MAX(0, SUMPRODUCT(MAX(MIN(AE6,FedBracketMax)-FedBracketMin,0)*FedBracketRate) - (FedBasicPersonal + IF(A6&gt;=65, MAX(0, FedAgeAmount - MAX(0, AE6-FedAgeThreshold)*FedAgeClawRate), 0) + IF(OR(H6&gt;0, I6&gt;0), FedPensionCredit, 0)) * FedCreditRate)</f>
      </c>
      <c r="AG6" s="14">
        <f>MAX(0, SUMPRODUCT(MAX(MIN(AE6,ProvBracketMax)-ProvBracketMin,0)*ProvBracketRate) - (ProvBasicPersonal + IF(A6&gt;=65, MAX(0, ProvAgeAmount - MAX(0, AE6-ProvAgeThreshold)*ProvAgeClawRate), 0) + IF(OR(H6&gt;0, I6&gt;0), ProvPensionCredit, 0)) * ProvCreditRate) + MAX(0, (MAX(0, SUMPRODUCT(MAX(MIN(AE6,ProvBracketMax)-ProvBracketMin,0)*ProvBracketRate) - (ProvBasicPersonal + IF(A6&gt;=65, MAX(0, ProvAgeAmount - MAX(0, AE6-ProvAgeThreshold)*ProvAgeClawRate), 0) + IF(OR(H6&gt;0, I6&gt;0), ProvPensionCredit, 0)) * ProvCreditRate)-SurtaxThreshold1)*SurtaxRate1) + MAX(0, (MAX(0, SUMPRODUCT(MAX(MIN(AE6,ProvBracketMax)-ProvBracketMin,0)*ProvBracketRate) - (ProvBasicPersonal + IF(A6&gt;=65, MAX(0, ProvAgeAmount - MAX(0, AE6-ProvAgeThreshold)*ProvAgeClawRate), 0) + IF(OR(H6&gt;0, I6&gt;0), ProvPensionCredit, 0)) * ProvCreditRate)-SurtaxThreshold2)*SurtaxRate2)</f>
      </c>
      <c r="AH6" s="14">
        <f>AF6+AG6</f>
      </c>
      <c r="AI6" s="14">
        <f>E6+F6+AC6+H6+Z6+T6+V6+AA6-AH6</f>
      </c>
      <c r="AJ6" s="14">
        <f>AI6-M6-N6-O6</f>
      </c>
      <c r="AK6" s="14">
        <f>IF(AJ6&gt;0, MIN(AJ6, Assumptions_TfsaAnnualLimit), 0)</f>
      </c>
      <c r="AL6" s="14">
        <f>MAX(0,Assumptions_RrspBalance-Z6)*(1+Assumptions_RealReturn)</f>
      </c>
      <c r="AM6" s="14">
        <f>MAX(0,Assumptions_TfsaBalance-T6+AK6)*(1+Assumptions_TfsaReturn)</f>
      </c>
      <c r="AN6" s="14">
        <f>MAX(0,Assumptions_NonRegBalance-V6+MAX(0,AJ6-AK6))*(1+Assumptions_NonRegReturn)</f>
      </c>
      <c r="AO6" s="14">
        <f>MAX(0,Assumptions_OtherAssets-AA6)*(1+Assumptions_RealReturn)</f>
      </c>
      <c r="AP6" s="14">
        <f>IF(N6&gt;0, MAX(0, Assumptions_MortgageBalance*(1+Assumptions_MortgageRate)-N6), 0)</f>
      </c>
      <c r="AQ6" s="14">
        <f>AL6+AM6+AN6+AO6</f>
      </c>
      <c r="AR6" s="14">
        <f>AQ6+Assumptions_RealEstateValue-AP6</f>
      </c>
      <c r="AS6" s="14">
        <f>MAX(0,Assumptions_NonRegCostBasis*MAX(0,Assumptions_NonRegBalance-V6)/IF(Assumptions_NonRegBalance&gt;0,Assumptions_NonRegBalance,1))+MAX(0,AJ6-AK6)</f>
      </c>
    </row>
    <row r="7" spans="1:45" x14ac:dyDescent="0.25">
      <c r="A7" s="15">
        <f>A6+1</f>
      </c>
      <c r="B7" s="15">
        <f>2026+(A7-Assumptions_CurrentAge)</f>
      </c>
      <c r="C7" s="15">
        <f>IF(A7&gt;=Assumptions_RetirementAge,1,0)</f>
      </c>
      <c r="D7" s="17">
        <f>(1+Assumptions_Inflation)^(A7-Assumptions_CurrentAge)</f>
      </c>
      <c r="E7" s="14">
        <f>IF(AND(C7=0,Assumptions_StillWorking=1),Assumptions_EmploymentIncome*D7,0)</f>
      </c>
      <c r="F7" s="14">
        <f>IF(A7&gt;=Assumptions_CppStartAge, Assumptions_CppMonthly*12*IF((Assumptions_CppStartAge-65)*12&lt;0, 1+(Assumptions_CppStartAge-65)*12*CppEarlyReduction, 1+(Assumptions_CppStartAge-65)*12*CppLateIncrease)*D7, 0)</f>
      </c>
      <c r="G7" s="14">
        <f>IF(A7&gt;=Assumptions_OasStartAge, Assumptions_OasMonthly*12*(1+MAX(0, MIN(Assumptions_OasStartAge, OasMaxDeferAge)-OasStdStartAge)*12*OasDeferralBonus)*D7, 0)</f>
      </c>
      <c r="H7" s="14">
        <f>IF(AND(Assumptions_PensionType="db",A7&gt;=Assumptions_DbPensionStartAge), IF(Assumptions_DbPensionIndexed=1, Assumptions_DbPensionAnnual*D7, Assumptions_DbPensionAnnual), 0)</f>
      </c>
      <c r="I7" s="14">
        <f>IF(AND(A7&gt;=72,AL6&gt;0), VLOOKUP(MIN(A7,95),RrifRates,2,TRUE)*AL6, 0)</f>
      </c>
      <c r="J7" s="14">
        <f>IF(AND(Assumptions_MeltdownEnabled=1,A7&gt;=Assumptions_MeltdownStartAge,A7&lt;Assumptions_MeltdownTargetAge), MIN(Assumptions_MeltdownAnnual,AL6), 0)</f>
      </c>
      <c r="K7" s="14">
        <f>MIN(MAX(I7,J7),AL6)</f>
      </c>
      <c r="L7" s="14">
        <f>E7+F7+G7+H7+K7</f>
      </c>
      <c r="M7" s="14">
        <f>IF(C7=1, Assumptions_MonthlyExpenses*12*(1-Assumptions_ExpenseReduction), Assumptions_MonthlyExpenses*12)*D7</f>
      </c>
      <c r="N7" s="14">
        <f>IF(AND(AP6&gt;0, (A7-Assumptions_CurrentAge)&lt;Assumptions_MortgageYears), IF(Assumptions_MortgageRate=0, AP6/MAX(1,Assumptions_MortgageYears-(A7-Assumptions_CurrentAge)), AP6*Assumptions_MortgageRate*(1+Assumptions_MortgageRate)^MAX(1,Assumptions_MortgageYears-(A7-Assumptions_CurrentAge))/((1+Assumptions_MortgageRate)^MAX(1,Assumptions_MortgageYears-(A7-Assumptions_CurrentAge))-1)), 0)</f>
      </c>
      <c r="O7" s="14">
        <f>IF(AND(Assumptions_ConsumerDebt&gt;0, A7&lt;Assumptions_ConsumerPayoffAge), IF(Assumptions_ConsumerDebtRate=0, Assumptions_ConsumerDebt/MAX(1,Assumptions_ConsumerPayoffAge-Assumptions_CurrentAge-(A7-Assumptions_CurrentAge)), Assumptions_ConsumerDebt*Assumptions_ConsumerDebtRate*(1+Assumptions_ConsumerDebtRate)^MAX(1,Assumptions_ConsumerPayoffAge-Assumptions_CurrentAge-(A7-Assumptions_CurrentAge))/((1+Assumptions_ConsumerDebtRate)^MAX(1,Assumptions_ConsumerPayoffAge-Assumptions_CurrentAge-(A7-Assumptions_CurrentAge))-1)), 0)+IF(AND(Assumptions_OtherDebt&gt;0, A7&lt;Assumptions_OtherPayoffAge), IF(Assumptions_OtherDebtRate=0, Assumptions_OtherDebt/MAX(1,Assumptions_OtherPayoffAge-Assumptions_CurrentAge-(A7-Assumptions_CurrentAge)), Assumptions_OtherDebt*Assumptions_OtherDebtRate*(1+Assumptions_OtherDebtRate)^MAX(1,Assumptions_OtherPayoffAge-Assumptions_CurrentAge-(A7-Assumptions_CurrentAge))/((1+Assumptions_OtherDebtRate)^MAX(1,Assumptions_OtherPayoffAge-Assumptions_CurrentAge-(A7-Assumptions_CurrentAge))-1)), 0)</f>
      </c>
      <c r="P7" s="14">
        <f>M7+N7+O7</f>
      </c>
      <c r="Q7" s="14">
        <f>IF(L7&lt;=0, 0, MAX(0, SUMPRODUCT(MAX(MIN(L7,FedBracketMax)-FedBracketMin,0)*FedBracketRate) - (FedBasicPersonal + IF(A7&gt;=65, MAX(0, FedAgeAmount - MAX(0, L7-FedAgeThreshold)*FedAgeClawRate), 0) + IF(OR(H7&gt;0, I7&gt;0), FedPensionCredit, 0)) * FedCreditRate))</f>
      </c>
      <c r="R7" s="14">
        <f>L7-Q7</f>
      </c>
      <c r="S7" s="14">
        <f>MAX(0,P7-R7)</f>
      </c>
      <c r="T7" s="14">
        <f>MIN(S7,AM6)</f>
      </c>
      <c r="U7" s="14">
        <f>MAX(0,S7-T7)</f>
      </c>
      <c r="V7" s="14">
        <f>MIN(U7,AN6)</f>
      </c>
      <c r="W7" s="14">
        <f>MAX(0,U7-V7)</f>
      </c>
      <c r="X7" s="16">
        <f>INDEX(FedBracketRate,MATCH(L7,FedBracketMin,1))+INDEX(ProvBracketRate,MATCH(L7,ProvBracketMin,1))</f>
      </c>
      <c r="Y7" s="14">
        <f>IF(W7&gt;0, MIN(IF(X7&gt;=1, W7, W7/(1-X7)), MAX(0,AL6-K7)), 0)</f>
      </c>
      <c r="Z7" s="14">
        <f>K7+Y7</f>
      </c>
      <c r="AA7" s="14">
        <f>IF(W7&gt;Y7*(1-X7), MIN(MAX(0,W7-Y7*(1-X7)),AO6), 0)</f>
      </c>
      <c r="AB7" s="14">
        <f>MIN(Assumptions_OasMaxAnnual, MAX(0,(E7+F7+G7+H7+Z7-Assumptions_OasClawbackThresh)*Assumptions_OasClawbackRate))</f>
      </c>
      <c r="AC7" s="14">
        <f>MAX(0,G7-AB7)</f>
      </c>
      <c r="AD7" s="14">
        <f>V7*IF(AN6&gt;0, MAX(0,1-AS6/AN6), 0)*Assumptions_CapGainsRate</f>
      </c>
      <c r="AE7" s="14">
        <f>E7+F7+AC7+H7+Z7+AD7</f>
      </c>
      <c r="AF7" s="14">
        <f>MAX(0, SUMPRODUCT(MAX(MIN(AE7,FedBracketMax)-FedBracketMin,0)*FedBracketRate) - (FedBasicPersonal + IF(A7&gt;=65, MAX(0, FedAgeAmount - MAX(0, AE7-FedAgeThreshold)*FedAgeClawRate), 0) + IF(OR(H7&gt;0, I7&gt;0), FedPensionCredit, 0)) * FedCreditRate)</f>
      </c>
      <c r="AG7" s="14">
        <f>MAX(0, SUMPRODUCT(MAX(MIN(AE7,ProvBracketMax)-ProvBracketMin,0)*ProvBracketRate) - (ProvBasicPersonal + IF(A7&gt;=65, MAX(0, ProvAgeAmount - MAX(0, AE7-ProvAgeThreshold)*ProvAgeClawRate), 0) + IF(OR(H7&gt;0, I7&gt;0), ProvPensionCredit, 0)) * ProvCreditRate) + MAX(0, (MAX(0, SUMPRODUCT(MAX(MIN(AE7,ProvBracketMax)-ProvBracketMin,0)*ProvBracketRate) - (ProvBasicPersonal + IF(A7&gt;=65, MAX(0, ProvAgeAmount - MAX(0, AE7-ProvAgeThreshold)*ProvAgeClawRate), 0) + IF(OR(H7&gt;0, I7&gt;0), ProvPensionCredit, 0)) * ProvCreditRate)-SurtaxThreshold1)*SurtaxRate1) + MAX(0, (MAX(0, SUMPRODUCT(MAX(MIN(AE7,ProvBracketMax)-ProvBracketMin,0)*ProvBracketRate) - (ProvBasicPersonal + IF(A7&gt;=65, MAX(0, ProvAgeAmount - MAX(0, AE7-ProvAgeThreshold)*ProvAgeClawRate), 0) + IF(OR(H7&gt;0, I7&gt;0), ProvPensionCredit, 0)) * ProvCreditRate)-SurtaxThreshold2)*SurtaxRate2)</f>
      </c>
      <c r="AH7" s="14">
        <f>AF7+AG7</f>
      </c>
      <c r="AI7" s="14">
        <f>E7+F7+AC7+H7+Z7+T7+V7+AA7-AH7</f>
      </c>
      <c r="AJ7" s="14">
        <f>AI7-M7-N7-O7</f>
      </c>
      <c r="AK7" s="14">
        <f>IF(AJ7&gt;0, MIN(AJ7, Assumptions_TfsaAnnualLimit), 0)</f>
      </c>
      <c r="AL7" s="14">
        <f>MAX(0,AL6-Z7)*(1+Assumptions_RealReturn)</f>
      </c>
      <c r="AM7" s="14">
        <f>MAX(0,AM6-T7+AK7)*(1+Assumptions_TfsaReturn)</f>
      </c>
      <c r="AN7" s="14">
        <f>MAX(0,AN6-V7+MAX(0,AJ7-AK7))*(1+Assumptions_NonRegReturn)</f>
      </c>
      <c r="AO7" s="14">
        <f>MAX(0,AO6-AA7)*(1+Assumptions_RealReturn)</f>
      </c>
      <c r="AP7" s="14">
        <f>IF(N7&gt;0, MAX(0, AP6*(1+Assumptions_MortgageRate)-N7), 0)</f>
      </c>
      <c r="AQ7" s="14">
        <f>AL7+AM7+AN7+AO7</f>
      </c>
      <c r="AR7" s="14">
        <f>AQ7+Assumptions_RealEstateValue-AP7</f>
      </c>
      <c r="AS7" s="14">
        <f>MAX(0,AS6*MAX(0,AN6-V7)/IF(AN6&gt;0,AN6,1))+MAX(0,AJ7-AK7)</f>
      </c>
    </row>
    <row r="8" spans="1:45" x14ac:dyDescent="0.25">
      <c r="A8" s="15">
        <f>A7+1</f>
      </c>
      <c r="B8" s="15">
        <f>2026+(A8-Assumptions_CurrentAge)</f>
      </c>
      <c r="C8" s="15">
        <f>IF(A8&gt;=Assumptions_RetirementAge,1,0)</f>
      </c>
      <c r="D8" s="17">
        <f>(1+Assumptions_Inflation)^(A8-Assumptions_CurrentAge)</f>
      </c>
      <c r="E8" s="14">
        <f>IF(AND(C8=0,Assumptions_StillWorking=1),Assumptions_EmploymentIncome*D8,0)</f>
      </c>
      <c r="F8" s="14">
        <f>IF(A8&gt;=Assumptions_CppStartAge, Assumptions_CppMonthly*12*IF((Assumptions_CppStartAge-65)*12&lt;0, 1+(Assumptions_CppStartAge-65)*12*CppEarlyReduction, 1+(Assumptions_CppStartAge-65)*12*CppLateIncrease)*D8, 0)</f>
      </c>
      <c r="G8" s="14">
        <f>IF(A8&gt;=Assumptions_OasStartAge, Assumptions_OasMonthly*12*(1+MAX(0, MIN(Assumptions_OasStartAge, OasMaxDeferAge)-OasStdStartAge)*12*OasDeferralBonus)*D8, 0)</f>
      </c>
      <c r="H8" s="14">
        <f>IF(AND(Assumptions_PensionType="db",A8&gt;=Assumptions_DbPensionStartAge), IF(Assumptions_DbPensionIndexed=1, Assumptions_DbPensionAnnual*D8, Assumptions_DbPensionAnnual), 0)</f>
      </c>
      <c r="I8" s="14">
        <f>IF(AND(A8&gt;=72,AL7&gt;0), VLOOKUP(MIN(A8,95),RrifRates,2,TRUE)*AL7, 0)</f>
      </c>
      <c r="J8" s="14">
        <f>IF(AND(Assumptions_MeltdownEnabled=1,A8&gt;=Assumptions_MeltdownStartAge,A8&lt;Assumptions_MeltdownTargetAge), MIN(Assumptions_MeltdownAnnual,AL7), 0)</f>
      </c>
      <c r="K8" s="14">
        <f>MIN(MAX(I8,J8),AL7)</f>
      </c>
      <c r="L8" s="14">
        <f>E8+F8+G8+H8+K8</f>
      </c>
      <c r="M8" s="14">
        <f>IF(C8=1, Assumptions_MonthlyExpenses*12*(1-Assumptions_ExpenseReduction), Assumptions_MonthlyExpenses*12)*D8</f>
      </c>
      <c r="N8" s="14">
        <f>IF(AND(AP7&gt;0, (A8-Assumptions_CurrentAge)&lt;Assumptions_MortgageYears), IF(Assumptions_MortgageRate=0, AP7/MAX(1,Assumptions_MortgageYears-(A8-Assumptions_CurrentAge)), AP7*Assumptions_MortgageRate*(1+Assumptions_MortgageRate)^MAX(1,Assumptions_MortgageYears-(A8-Assumptions_CurrentAge))/((1+Assumptions_MortgageRate)^MAX(1,Assumptions_MortgageYears-(A8-Assumptions_CurrentAge))-1)), 0)</f>
      </c>
      <c r="O8" s="14">
        <f>IF(AND(Assumptions_ConsumerDebt&gt;0, A8&lt;Assumptions_ConsumerPayoffAge), IF(Assumptions_ConsumerDebtRate=0, Assumptions_ConsumerDebt/MAX(1,Assumptions_ConsumerPayoffAge-Assumptions_CurrentAge-(A8-Assumptions_CurrentAge)), Assumptions_ConsumerDebt*Assumptions_ConsumerDebtRate*(1+Assumptions_ConsumerDebtRate)^MAX(1,Assumptions_ConsumerPayoffAge-Assumptions_CurrentAge-(A8-Assumptions_CurrentAge))/((1+Assumptions_ConsumerDebtRate)^MAX(1,Assumptions_ConsumerPayoffAge-Assumptions_CurrentAge-(A8-Assumptions_CurrentAge))-1)), 0)+IF(AND(Assumptions_OtherDebt&gt;0, A8&lt;Assumptions_OtherPayoffAge), IF(Assumptions_OtherDebtRate=0, Assumptions_OtherDebt/MAX(1,Assumptions_OtherPayoffAge-Assumptions_CurrentAge-(A8-Assumptions_CurrentAge)), Assumptions_OtherDebt*Assumptions_OtherDebtRate*(1+Assumptions_OtherDebtRate)^MAX(1,Assumptions_OtherPayoffAge-Assumptions_CurrentAge-(A8-Assumptions_CurrentAge))/((1+Assumptions_OtherDebtRate)^MAX(1,Assumptions_OtherPayoffAge-Assumptions_CurrentAge-(A8-Assumptions_CurrentAge))-1)), 0)</f>
      </c>
      <c r="P8" s="14">
        <f>M8+N8+O8</f>
      </c>
      <c r="Q8" s="14">
        <f>IF(L8&lt;=0, 0, MAX(0, SUMPRODUCT(MAX(MIN(L8,FedBracketMax)-FedBracketMin,0)*FedBracketRate) - (FedBasicPersonal + IF(A8&gt;=65, MAX(0, FedAgeAmount - MAX(0, L8-FedAgeThreshold)*FedAgeClawRate), 0) + IF(OR(H8&gt;0, I8&gt;0), FedPensionCredit, 0)) * FedCreditRate))</f>
      </c>
      <c r="R8" s="14">
        <f>L8-Q8</f>
      </c>
      <c r="S8" s="14">
        <f>MAX(0,P8-R8)</f>
      </c>
      <c r="T8" s="14">
        <f>MIN(S8,AM7)</f>
      </c>
      <c r="U8" s="14">
        <f>MAX(0,S8-T8)</f>
      </c>
      <c r="V8" s="14">
        <f>MIN(U8,AN7)</f>
      </c>
      <c r="W8" s="14">
        <f>MAX(0,U8-V8)</f>
      </c>
      <c r="X8" s="16">
        <f>INDEX(FedBracketRate,MATCH(L8,FedBracketMin,1))+INDEX(ProvBracketRate,MATCH(L8,ProvBracketMin,1))</f>
      </c>
      <c r="Y8" s="14">
        <f>IF(W8&gt;0, MIN(IF(X8&gt;=1, W8, W8/(1-X8)), MAX(0,AL7-K8)), 0)</f>
      </c>
      <c r="Z8" s="14">
        <f>K8+Y8</f>
      </c>
      <c r="AA8" s="14">
        <f>IF(W8&gt;Y8*(1-X8), MIN(MAX(0,W8-Y8*(1-X8)),AO7), 0)</f>
      </c>
      <c r="AB8" s="14">
        <f>MIN(Assumptions_OasMaxAnnual, MAX(0,(E8+F8+G8+H8+Z8-Assumptions_OasClawbackThresh)*Assumptions_OasClawbackRate))</f>
      </c>
      <c r="AC8" s="14">
        <f>MAX(0,G8-AB8)</f>
      </c>
      <c r="AD8" s="14">
        <f>V8*IF(AN7&gt;0, MAX(0,1-AS7/AN7), 0)*Assumptions_CapGainsRate</f>
      </c>
      <c r="AE8" s="14">
        <f>E8+F8+AC8+H8+Z8+AD8</f>
      </c>
      <c r="AF8" s="14">
        <f>MAX(0, SUMPRODUCT(MAX(MIN(AE8,FedBracketMax)-FedBracketMin,0)*FedBracketRate) - (FedBasicPersonal + IF(A8&gt;=65, MAX(0, FedAgeAmount - MAX(0, AE8-FedAgeThreshold)*FedAgeClawRate), 0) + IF(OR(H8&gt;0, I8&gt;0), FedPensionCredit, 0)) * FedCreditRate)</f>
      </c>
      <c r="AG8" s="14">
        <f>MAX(0, SUMPRODUCT(MAX(MIN(AE8,ProvBracketMax)-ProvBracketMin,0)*ProvBracketRate) - (ProvBasicPersonal + IF(A8&gt;=65, MAX(0, ProvAgeAmount - MAX(0, AE8-ProvAgeThreshold)*ProvAgeClawRate), 0) + IF(OR(H8&gt;0, I8&gt;0), ProvPensionCredit, 0)) * ProvCreditRate) + MAX(0, (MAX(0, SUMPRODUCT(MAX(MIN(AE8,ProvBracketMax)-ProvBracketMin,0)*ProvBracketRate) - (ProvBasicPersonal + IF(A8&gt;=65, MAX(0, ProvAgeAmount - MAX(0, AE8-ProvAgeThreshold)*ProvAgeClawRate), 0) + IF(OR(H8&gt;0, I8&gt;0), ProvPensionCredit, 0)) * ProvCreditRate)-SurtaxThreshold1)*SurtaxRate1) + MAX(0, (MAX(0, SUMPRODUCT(MAX(MIN(AE8,ProvBracketMax)-ProvBracketMin,0)*ProvBracketRate) - (ProvBasicPersonal + IF(A8&gt;=65, MAX(0, ProvAgeAmount - MAX(0, AE8-ProvAgeThreshold)*ProvAgeClawRate), 0) + IF(OR(H8&gt;0, I8&gt;0), ProvPensionCredit, 0)) * ProvCreditRate)-SurtaxThreshold2)*SurtaxRate2)</f>
      </c>
      <c r="AH8" s="14">
        <f>AF8+AG8</f>
      </c>
      <c r="AI8" s="14">
        <f>E8+F8+AC8+H8+Z8+T8+V8+AA8-AH8</f>
      </c>
      <c r="AJ8" s="14">
        <f>AI8-M8-N8-O8</f>
      </c>
      <c r="AK8" s="14">
        <f>IF(AJ8&gt;0, MIN(AJ8, Assumptions_TfsaAnnualLimit), 0)</f>
      </c>
      <c r="AL8" s="14">
        <f>MAX(0,AL7-Z8)*(1+Assumptions_RealReturn)</f>
      </c>
      <c r="AM8" s="14">
        <f>MAX(0,AM7-T8+AK8)*(1+Assumptions_TfsaReturn)</f>
      </c>
      <c r="AN8" s="14">
        <f>MAX(0,AN7-V8+MAX(0,AJ8-AK8))*(1+Assumptions_NonRegReturn)</f>
      </c>
      <c r="AO8" s="14">
        <f>MAX(0,AO7-AA8)*(1+Assumptions_RealReturn)</f>
      </c>
      <c r="AP8" s="14">
        <f>IF(N8&gt;0, MAX(0, AP7*(1+Assumptions_MortgageRate)-N8), 0)</f>
      </c>
      <c r="AQ8" s="14">
        <f>AL8+AM8+AN8+AO8</f>
      </c>
      <c r="AR8" s="14">
        <f>AQ8+Assumptions_RealEstateValue-AP8</f>
      </c>
      <c r="AS8" s="14">
        <f>MAX(0,AS7*MAX(0,AN7-V8)/IF(AN7&gt;0,AN7,1))+MAX(0,AJ8-AK8)</f>
      </c>
    </row>
    <row r="9" spans="1:45" x14ac:dyDescent="0.25">
      <c r="A9" s="15">
        <f>A8+1</f>
      </c>
      <c r="B9" s="15">
        <f>2026+(A9-Assumptions_CurrentAge)</f>
      </c>
      <c r="C9" s="15">
        <f>IF(A9&gt;=Assumptions_RetirementAge,1,0)</f>
      </c>
      <c r="D9" s="17">
        <f>(1+Assumptions_Inflation)^(A9-Assumptions_CurrentAge)</f>
      </c>
      <c r="E9" s="14">
        <f>IF(AND(C9=0,Assumptions_StillWorking=1),Assumptions_EmploymentIncome*D9,0)</f>
      </c>
      <c r="F9" s="14">
        <f>IF(A9&gt;=Assumptions_CppStartAge, Assumptions_CppMonthly*12*IF((Assumptions_CppStartAge-65)*12&lt;0, 1+(Assumptions_CppStartAge-65)*12*CppEarlyReduction, 1+(Assumptions_CppStartAge-65)*12*CppLateIncrease)*D9, 0)</f>
      </c>
      <c r="G9" s="14">
        <f>IF(A9&gt;=Assumptions_OasStartAge, Assumptions_OasMonthly*12*(1+MAX(0, MIN(Assumptions_OasStartAge, OasMaxDeferAge)-OasStdStartAge)*12*OasDeferralBonus)*D9, 0)</f>
      </c>
      <c r="H9" s="14">
        <f>IF(AND(Assumptions_PensionType="db",A9&gt;=Assumptions_DbPensionStartAge), IF(Assumptions_DbPensionIndexed=1, Assumptions_DbPensionAnnual*D9, Assumptions_DbPensionAnnual), 0)</f>
      </c>
      <c r="I9" s="14">
        <f>IF(AND(A9&gt;=72,AL8&gt;0), VLOOKUP(MIN(A9,95),RrifRates,2,TRUE)*AL8, 0)</f>
      </c>
      <c r="J9" s="14">
        <f>IF(AND(Assumptions_MeltdownEnabled=1,A9&gt;=Assumptions_MeltdownStartAge,A9&lt;Assumptions_MeltdownTargetAge), MIN(Assumptions_MeltdownAnnual,AL8), 0)</f>
      </c>
      <c r="K9" s="14">
        <f>MIN(MAX(I9,J9),AL8)</f>
      </c>
      <c r="L9" s="14">
        <f>E9+F9+G9+H9+K9</f>
      </c>
      <c r="M9" s="14">
        <f>IF(C9=1, Assumptions_MonthlyExpenses*12*(1-Assumptions_ExpenseReduction), Assumptions_MonthlyExpenses*12)*D9</f>
      </c>
      <c r="N9" s="14">
        <f>IF(AND(AP8&gt;0, (A9-Assumptions_CurrentAge)&lt;Assumptions_MortgageYears), IF(Assumptions_MortgageRate=0, AP8/MAX(1,Assumptions_MortgageYears-(A9-Assumptions_CurrentAge)), AP8*Assumptions_MortgageRate*(1+Assumptions_MortgageRate)^MAX(1,Assumptions_MortgageYears-(A9-Assumptions_CurrentAge))/((1+Assumptions_MortgageRate)^MAX(1,Assumptions_MortgageYears-(A9-Assumptions_CurrentAge))-1)), 0)</f>
      </c>
      <c r="O9" s="14">
        <f>IF(AND(Assumptions_ConsumerDebt&gt;0, A9&lt;Assumptions_ConsumerPayoffAge), IF(Assumptions_ConsumerDebtRate=0, Assumptions_ConsumerDebt/MAX(1,Assumptions_ConsumerPayoffAge-Assumptions_CurrentAge-(A9-Assumptions_CurrentAge)), Assumptions_ConsumerDebt*Assumptions_ConsumerDebtRate*(1+Assumptions_ConsumerDebtRate)^MAX(1,Assumptions_ConsumerPayoffAge-Assumptions_CurrentAge-(A9-Assumptions_CurrentAge))/((1+Assumptions_ConsumerDebtRate)^MAX(1,Assumptions_ConsumerPayoffAge-Assumptions_CurrentAge-(A9-Assumptions_CurrentAge))-1)), 0)+IF(AND(Assumptions_OtherDebt&gt;0, A9&lt;Assumptions_OtherPayoffAge), IF(Assumptions_OtherDebtRate=0, Assumptions_OtherDebt/MAX(1,Assumptions_OtherPayoffAge-Assumptions_CurrentAge-(A9-Assumptions_CurrentAge)), Assumptions_OtherDebt*Assumptions_OtherDebtRate*(1+Assumptions_OtherDebtRate)^MAX(1,Assumptions_OtherPayoffAge-Assumptions_CurrentAge-(A9-Assumptions_CurrentAge))/((1+Assumptions_OtherDebtRate)^MAX(1,Assumptions_OtherPayoffAge-Assumptions_CurrentAge-(A9-Assumptions_CurrentAge))-1)), 0)</f>
      </c>
      <c r="P9" s="14">
        <f>M9+N9+O9</f>
      </c>
      <c r="Q9" s="14">
        <f>IF(L9&lt;=0, 0, MAX(0, SUMPRODUCT(MAX(MIN(L9,FedBracketMax)-FedBracketMin,0)*FedBracketRate) - (FedBasicPersonal + IF(A9&gt;=65, MAX(0, FedAgeAmount - MAX(0, L9-FedAgeThreshold)*FedAgeClawRate), 0) + IF(OR(H9&gt;0, I9&gt;0), FedPensionCredit, 0)) * FedCreditRate))</f>
      </c>
      <c r="R9" s="14">
        <f>L9-Q9</f>
      </c>
      <c r="S9" s="14">
        <f>MAX(0,P9-R9)</f>
      </c>
      <c r="T9" s="14">
        <f>MIN(S9,AM8)</f>
      </c>
      <c r="U9" s="14">
        <f>MAX(0,S9-T9)</f>
      </c>
      <c r="V9" s="14">
        <f>MIN(U9,AN8)</f>
      </c>
      <c r="W9" s="14">
        <f>MAX(0,U9-V9)</f>
      </c>
      <c r="X9" s="16">
        <f>INDEX(FedBracketRate,MATCH(L9,FedBracketMin,1))+INDEX(ProvBracketRate,MATCH(L9,ProvBracketMin,1))</f>
      </c>
      <c r="Y9" s="14">
        <f>IF(W9&gt;0, MIN(IF(X9&gt;=1, W9, W9/(1-X9)), MAX(0,AL8-K9)), 0)</f>
      </c>
      <c r="Z9" s="14">
        <f>K9+Y9</f>
      </c>
      <c r="AA9" s="14">
        <f>IF(W9&gt;Y9*(1-X9), MIN(MAX(0,W9-Y9*(1-X9)),AO8), 0)</f>
      </c>
      <c r="AB9" s="14">
        <f>MIN(Assumptions_OasMaxAnnual, MAX(0,(E9+F9+G9+H9+Z9-Assumptions_OasClawbackThresh)*Assumptions_OasClawbackRate))</f>
      </c>
      <c r="AC9" s="14">
        <f>MAX(0,G9-AB9)</f>
      </c>
      <c r="AD9" s="14">
        <f>V9*IF(AN8&gt;0, MAX(0,1-AS8/AN8), 0)*Assumptions_CapGainsRate</f>
      </c>
      <c r="AE9" s="14">
        <f>E9+F9+AC9+H9+Z9+AD9</f>
      </c>
      <c r="AF9" s="14">
        <f>MAX(0, SUMPRODUCT(MAX(MIN(AE9,FedBracketMax)-FedBracketMin,0)*FedBracketRate) - (FedBasicPersonal + IF(A9&gt;=65, MAX(0, FedAgeAmount - MAX(0, AE9-FedAgeThreshold)*FedAgeClawRate), 0) + IF(OR(H9&gt;0, I9&gt;0), FedPensionCredit, 0)) * FedCreditRate)</f>
      </c>
      <c r="AG9" s="14">
        <f>MAX(0, SUMPRODUCT(MAX(MIN(AE9,ProvBracketMax)-ProvBracketMin,0)*ProvBracketRate) - (ProvBasicPersonal + IF(A9&gt;=65, MAX(0, ProvAgeAmount - MAX(0, AE9-ProvAgeThreshold)*ProvAgeClawRate), 0) + IF(OR(H9&gt;0, I9&gt;0), ProvPensionCredit, 0)) * ProvCreditRate) + MAX(0, (MAX(0, SUMPRODUCT(MAX(MIN(AE9,ProvBracketMax)-ProvBracketMin,0)*ProvBracketRate) - (ProvBasicPersonal + IF(A9&gt;=65, MAX(0, ProvAgeAmount - MAX(0, AE9-ProvAgeThreshold)*ProvAgeClawRate), 0) + IF(OR(H9&gt;0, I9&gt;0), ProvPensionCredit, 0)) * ProvCreditRate)-SurtaxThreshold1)*SurtaxRate1) + MAX(0, (MAX(0, SUMPRODUCT(MAX(MIN(AE9,ProvBracketMax)-ProvBracketMin,0)*ProvBracketRate) - (ProvBasicPersonal + IF(A9&gt;=65, MAX(0, ProvAgeAmount - MAX(0, AE9-ProvAgeThreshold)*ProvAgeClawRate), 0) + IF(OR(H9&gt;0, I9&gt;0), ProvPensionCredit, 0)) * ProvCreditRate)-SurtaxThreshold2)*SurtaxRate2)</f>
      </c>
      <c r="AH9" s="14">
        <f>AF9+AG9</f>
      </c>
      <c r="AI9" s="14">
        <f>E9+F9+AC9+H9+Z9+T9+V9+AA9-AH9</f>
      </c>
      <c r="AJ9" s="14">
        <f>AI9-M9-N9-O9</f>
      </c>
      <c r="AK9" s="14">
        <f>IF(AJ9&gt;0, MIN(AJ9, Assumptions_TfsaAnnualLimit), 0)</f>
      </c>
      <c r="AL9" s="14">
        <f>MAX(0,AL8-Z9)*(1+Assumptions_RealReturn)</f>
      </c>
      <c r="AM9" s="14">
        <f>MAX(0,AM8-T9+AK9)*(1+Assumptions_TfsaReturn)</f>
      </c>
      <c r="AN9" s="14">
        <f>MAX(0,AN8-V9+MAX(0,AJ9-AK9))*(1+Assumptions_NonRegReturn)</f>
      </c>
      <c r="AO9" s="14">
        <f>MAX(0,AO8-AA9)*(1+Assumptions_RealReturn)</f>
      </c>
      <c r="AP9" s="14">
        <f>IF(N9&gt;0, MAX(0, AP8*(1+Assumptions_MortgageRate)-N9), 0)</f>
      </c>
      <c r="AQ9" s="14">
        <f>AL9+AM9+AN9+AO9</f>
      </c>
      <c r="AR9" s="14">
        <f>AQ9+Assumptions_RealEstateValue-AP9</f>
      </c>
      <c r="AS9" s="14">
        <f>MAX(0,AS8*MAX(0,AN8-V9)/IF(AN8&gt;0,AN8,1))+MAX(0,AJ9-AK9)</f>
      </c>
    </row>
    <row r="10" spans="1:45" x14ac:dyDescent="0.25">
      <c r="A10" s="15">
        <f>A9+1</f>
      </c>
      <c r="B10" s="15">
        <f>2026+(A10-Assumptions_CurrentAge)</f>
      </c>
      <c r="C10" s="15">
        <f>IF(A10&gt;=Assumptions_RetirementAge,1,0)</f>
      </c>
      <c r="D10" s="17">
        <f>(1+Assumptions_Inflation)^(A10-Assumptions_CurrentAge)</f>
      </c>
      <c r="E10" s="14">
        <f>IF(AND(C10=0,Assumptions_StillWorking=1),Assumptions_EmploymentIncome*D10,0)</f>
      </c>
      <c r="F10" s="14">
        <f>IF(A10&gt;=Assumptions_CppStartAge, Assumptions_CppMonthly*12*IF((Assumptions_CppStartAge-65)*12&lt;0, 1+(Assumptions_CppStartAge-65)*12*CppEarlyReduction, 1+(Assumptions_CppStartAge-65)*12*CppLateIncrease)*D10, 0)</f>
      </c>
      <c r="G10" s="14">
        <f>IF(A10&gt;=Assumptions_OasStartAge, Assumptions_OasMonthly*12*(1+MAX(0, MIN(Assumptions_OasStartAge, OasMaxDeferAge)-OasStdStartAge)*12*OasDeferralBonus)*D10, 0)</f>
      </c>
      <c r="H10" s="14">
        <f>IF(AND(Assumptions_PensionType="db",A10&gt;=Assumptions_DbPensionStartAge), IF(Assumptions_DbPensionIndexed=1, Assumptions_DbPensionAnnual*D10, Assumptions_DbPensionAnnual), 0)</f>
      </c>
      <c r="I10" s="14">
        <f>IF(AND(A10&gt;=72,AL9&gt;0), VLOOKUP(MIN(A10,95),RrifRates,2,TRUE)*AL9, 0)</f>
      </c>
      <c r="J10" s="14">
        <f>IF(AND(Assumptions_MeltdownEnabled=1,A10&gt;=Assumptions_MeltdownStartAge,A10&lt;Assumptions_MeltdownTargetAge), MIN(Assumptions_MeltdownAnnual,AL9), 0)</f>
      </c>
      <c r="K10" s="14">
        <f>MIN(MAX(I10,J10),AL9)</f>
      </c>
      <c r="L10" s="14">
        <f>E10+F10+G10+H10+K10</f>
      </c>
      <c r="M10" s="14">
        <f>IF(C10=1, Assumptions_MonthlyExpenses*12*(1-Assumptions_ExpenseReduction), Assumptions_MonthlyExpenses*12)*D10</f>
      </c>
      <c r="N10" s="14">
        <f>IF(AND(AP9&gt;0, (A10-Assumptions_CurrentAge)&lt;Assumptions_MortgageYears), IF(Assumptions_MortgageRate=0, AP9/MAX(1,Assumptions_MortgageYears-(A10-Assumptions_CurrentAge)), AP9*Assumptions_MortgageRate*(1+Assumptions_MortgageRate)^MAX(1,Assumptions_MortgageYears-(A10-Assumptions_CurrentAge))/((1+Assumptions_MortgageRate)^MAX(1,Assumptions_MortgageYears-(A10-Assumptions_CurrentAge))-1)), 0)</f>
      </c>
      <c r="O10" s="14">
        <f>IF(AND(Assumptions_ConsumerDebt&gt;0, A10&lt;Assumptions_ConsumerPayoffAge), IF(Assumptions_ConsumerDebtRate=0, Assumptions_ConsumerDebt/MAX(1,Assumptions_ConsumerPayoffAge-Assumptions_CurrentAge-(A10-Assumptions_CurrentAge)), Assumptions_ConsumerDebt*Assumptions_ConsumerDebtRate*(1+Assumptions_ConsumerDebtRate)^MAX(1,Assumptions_ConsumerPayoffAge-Assumptions_CurrentAge-(A10-Assumptions_CurrentAge))/((1+Assumptions_ConsumerDebtRate)^MAX(1,Assumptions_ConsumerPayoffAge-Assumptions_CurrentAge-(A10-Assumptions_CurrentAge))-1)), 0)+IF(AND(Assumptions_OtherDebt&gt;0, A10&lt;Assumptions_OtherPayoffAge), IF(Assumptions_OtherDebtRate=0, Assumptions_OtherDebt/MAX(1,Assumptions_OtherPayoffAge-Assumptions_CurrentAge-(A10-Assumptions_CurrentAge)), Assumptions_OtherDebt*Assumptions_OtherDebtRate*(1+Assumptions_OtherDebtRate)^MAX(1,Assumptions_OtherPayoffAge-Assumptions_CurrentAge-(A10-Assumptions_CurrentAge))/((1+Assumptions_OtherDebtRate)^MAX(1,Assumptions_OtherPayoffAge-Assumptions_CurrentAge-(A10-Assumptions_CurrentAge))-1)), 0)</f>
      </c>
      <c r="P10" s="14">
        <f>M10+N10+O10</f>
      </c>
      <c r="Q10" s="14">
        <f>IF(L10&lt;=0, 0, MAX(0, SUMPRODUCT(MAX(MIN(L10,FedBracketMax)-FedBracketMin,0)*FedBracketRate) - (FedBasicPersonal + IF(A10&gt;=65, MAX(0, FedAgeAmount - MAX(0, L10-FedAgeThreshold)*FedAgeClawRate), 0) + IF(OR(H10&gt;0, I10&gt;0), FedPensionCredit, 0)) * FedCreditRate))</f>
      </c>
      <c r="R10" s="14">
        <f>L10-Q10</f>
      </c>
      <c r="S10" s="14">
        <f>MAX(0,P10-R10)</f>
      </c>
      <c r="T10" s="14">
        <f>MIN(S10,AM9)</f>
      </c>
      <c r="U10" s="14">
        <f>MAX(0,S10-T10)</f>
      </c>
      <c r="V10" s="14">
        <f>MIN(U10,AN9)</f>
      </c>
      <c r="W10" s="14">
        <f>MAX(0,U10-V10)</f>
      </c>
      <c r="X10" s="16">
        <f>INDEX(FedBracketRate,MATCH(L10,FedBracketMin,1))+INDEX(ProvBracketRate,MATCH(L10,ProvBracketMin,1))</f>
      </c>
      <c r="Y10" s="14">
        <f>IF(W10&gt;0, MIN(IF(X10&gt;=1, W10, W10/(1-X10)), MAX(0,AL9-K10)), 0)</f>
      </c>
      <c r="Z10" s="14">
        <f>K10+Y10</f>
      </c>
      <c r="AA10" s="14">
        <f>IF(W10&gt;Y10*(1-X10), MIN(MAX(0,W10-Y10*(1-X10)),AO9), 0)</f>
      </c>
      <c r="AB10" s="14">
        <f>MIN(Assumptions_OasMaxAnnual, MAX(0,(E10+F10+G10+H10+Z10-Assumptions_OasClawbackThresh)*Assumptions_OasClawbackRate))</f>
      </c>
      <c r="AC10" s="14">
        <f>MAX(0,G10-AB10)</f>
      </c>
      <c r="AD10" s="14">
        <f>V10*IF(AN9&gt;0, MAX(0,1-AS9/AN9), 0)*Assumptions_CapGainsRate</f>
      </c>
      <c r="AE10" s="14">
        <f>E10+F10+AC10+H10+Z10+AD10</f>
      </c>
      <c r="AF10" s="14">
        <f>MAX(0, SUMPRODUCT(MAX(MIN(AE10,FedBracketMax)-FedBracketMin,0)*FedBracketRate) - (FedBasicPersonal + IF(A10&gt;=65, MAX(0, FedAgeAmount - MAX(0, AE10-FedAgeThreshold)*FedAgeClawRate), 0) + IF(OR(H10&gt;0, I10&gt;0), FedPensionCredit, 0)) * FedCreditRate)</f>
      </c>
      <c r="AG10" s="14">
        <f>MAX(0, SUMPRODUCT(MAX(MIN(AE10,ProvBracketMax)-ProvBracketMin,0)*ProvBracketRate) - (ProvBasicPersonal + IF(A10&gt;=65, MAX(0, ProvAgeAmount - MAX(0, AE10-ProvAgeThreshold)*ProvAgeClawRate), 0) + IF(OR(H10&gt;0, I10&gt;0), ProvPensionCredit, 0)) * ProvCreditRate) + MAX(0, (MAX(0, SUMPRODUCT(MAX(MIN(AE10,ProvBracketMax)-ProvBracketMin,0)*ProvBracketRate) - (ProvBasicPersonal + IF(A10&gt;=65, MAX(0, ProvAgeAmount - MAX(0, AE10-ProvAgeThreshold)*ProvAgeClawRate), 0) + IF(OR(H10&gt;0, I10&gt;0), ProvPensionCredit, 0)) * ProvCreditRate)-SurtaxThreshold1)*SurtaxRate1) + MAX(0, (MAX(0, SUMPRODUCT(MAX(MIN(AE10,ProvBracketMax)-ProvBracketMin,0)*ProvBracketRate) - (ProvBasicPersonal + IF(A10&gt;=65, MAX(0, ProvAgeAmount - MAX(0, AE10-ProvAgeThreshold)*ProvAgeClawRate), 0) + IF(OR(H10&gt;0, I10&gt;0), ProvPensionCredit, 0)) * ProvCreditRate)-SurtaxThreshold2)*SurtaxRate2)</f>
      </c>
      <c r="AH10" s="14">
        <f>AF10+AG10</f>
      </c>
      <c r="AI10" s="14">
        <f>E10+F10+AC10+H10+Z10+T10+V10+AA10-AH10</f>
      </c>
      <c r="AJ10" s="14">
        <f>AI10-M10-N10-O10</f>
      </c>
      <c r="AK10" s="14">
        <f>IF(AJ10&gt;0, MIN(AJ10, Assumptions_TfsaAnnualLimit), 0)</f>
      </c>
      <c r="AL10" s="14">
        <f>MAX(0,AL9-Z10)*(1+Assumptions_RealReturn)</f>
      </c>
      <c r="AM10" s="14">
        <f>MAX(0,AM9-T10+AK10)*(1+Assumptions_TfsaReturn)</f>
      </c>
      <c r="AN10" s="14">
        <f>MAX(0,AN9-V10+MAX(0,AJ10-AK10))*(1+Assumptions_NonRegReturn)</f>
      </c>
      <c r="AO10" s="14">
        <f>MAX(0,AO9-AA10)*(1+Assumptions_RealReturn)</f>
      </c>
      <c r="AP10" s="14">
        <f>IF(N10&gt;0, MAX(0, AP9*(1+Assumptions_MortgageRate)-N10), 0)</f>
      </c>
      <c r="AQ10" s="14">
        <f>AL10+AM10+AN10+AO10</f>
      </c>
      <c r="AR10" s="14">
        <f>AQ10+Assumptions_RealEstateValue-AP10</f>
      </c>
      <c r="AS10" s="14">
        <f>MAX(0,AS9*MAX(0,AN9-V10)/IF(AN9&gt;0,AN9,1))+MAX(0,AJ10-AK10)</f>
      </c>
    </row>
    <row r="11" spans="1:45" x14ac:dyDescent="0.25">
      <c r="A11" s="15">
        <f>A10+1</f>
      </c>
      <c r="B11" s="15">
        <f>2026+(A11-Assumptions_CurrentAge)</f>
      </c>
      <c r="C11" s="15">
        <f>IF(A11&gt;=Assumptions_RetirementAge,1,0)</f>
      </c>
      <c r="D11" s="17">
        <f>(1+Assumptions_Inflation)^(A11-Assumptions_CurrentAge)</f>
      </c>
      <c r="E11" s="14">
        <f>IF(AND(C11=0,Assumptions_StillWorking=1),Assumptions_EmploymentIncome*D11,0)</f>
      </c>
      <c r="F11" s="14">
        <f>IF(A11&gt;=Assumptions_CppStartAge, Assumptions_CppMonthly*12*IF((Assumptions_CppStartAge-65)*12&lt;0, 1+(Assumptions_CppStartAge-65)*12*CppEarlyReduction, 1+(Assumptions_CppStartAge-65)*12*CppLateIncrease)*D11, 0)</f>
      </c>
      <c r="G11" s="14">
        <f>IF(A11&gt;=Assumptions_OasStartAge, Assumptions_OasMonthly*12*(1+MAX(0, MIN(Assumptions_OasStartAge, OasMaxDeferAge)-OasStdStartAge)*12*OasDeferralBonus)*D11, 0)</f>
      </c>
      <c r="H11" s="14">
        <f>IF(AND(Assumptions_PensionType="db",A11&gt;=Assumptions_DbPensionStartAge), IF(Assumptions_DbPensionIndexed=1, Assumptions_DbPensionAnnual*D11, Assumptions_DbPensionAnnual), 0)</f>
      </c>
      <c r="I11" s="14">
        <f>IF(AND(A11&gt;=72,AL10&gt;0), VLOOKUP(MIN(A11,95),RrifRates,2,TRUE)*AL10, 0)</f>
      </c>
      <c r="J11" s="14">
        <f>IF(AND(Assumptions_MeltdownEnabled=1,A11&gt;=Assumptions_MeltdownStartAge,A11&lt;Assumptions_MeltdownTargetAge), MIN(Assumptions_MeltdownAnnual,AL10), 0)</f>
      </c>
      <c r="K11" s="14">
        <f>MIN(MAX(I11,J11),AL10)</f>
      </c>
      <c r="L11" s="14">
        <f>E11+F11+G11+H11+K11</f>
      </c>
      <c r="M11" s="14">
        <f>IF(C11=1, Assumptions_MonthlyExpenses*12*(1-Assumptions_ExpenseReduction), Assumptions_MonthlyExpenses*12)*D11</f>
      </c>
      <c r="N11" s="14">
        <f>IF(AND(AP10&gt;0, (A11-Assumptions_CurrentAge)&lt;Assumptions_MortgageYears), IF(Assumptions_MortgageRate=0, AP10/MAX(1,Assumptions_MortgageYears-(A11-Assumptions_CurrentAge)), AP10*Assumptions_MortgageRate*(1+Assumptions_MortgageRate)^MAX(1,Assumptions_MortgageYears-(A11-Assumptions_CurrentAge))/((1+Assumptions_MortgageRate)^MAX(1,Assumptions_MortgageYears-(A11-Assumptions_CurrentAge))-1)), 0)</f>
      </c>
      <c r="O11" s="14">
        <f>IF(AND(Assumptions_ConsumerDebt&gt;0, A11&lt;Assumptions_ConsumerPayoffAge), IF(Assumptions_ConsumerDebtRate=0, Assumptions_ConsumerDebt/MAX(1,Assumptions_ConsumerPayoffAge-Assumptions_CurrentAge-(A11-Assumptions_CurrentAge)), Assumptions_ConsumerDebt*Assumptions_ConsumerDebtRate*(1+Assumptions_ConsumerDebtRate)^MAX(1,Assumptions_ConsumerPayoffAge-Assumptions_CurrentAge-(A11-Assumptions_CurrentAge))/((1+Assumptions_ConsumerDebtRate)^MAX(1,Assumptions_ConsumerPayoffAge-Assumptions_CurrentAge-(A11-Assumptions_CurrentAge))-1)), 0)+IF(AND(Assumptions_OtherDebt&gt;0, A11&lt;Assumptions_OtherPayoffAge), IF(Assumptions_OtherDebtRate=0, Assumptions_OtherDebt/MAX(1,Assumptions_OtherPayoffAge-Assumptions_CurrentAge-(A11-Assumptions_CurrentAge)), Assumptions_OtherDebt*Assumptions_OtherDebtRate*(1+Assumptions_OtherDebtRate)^MAX(1,Assumptions_OtherPayoffAge-Assumptions_CurrentAge-(A11-Assumptions_CurrentAge))/((1+Assumptions_OtherDebtRate)^MAX(1,Assumptions_OtherPayoffAge-Assumptions_CurrentAge-(A11-Assumptions_CurrentAge))-1)), 0)</f>
      </c>
      <c r="P11" s="14">
        <f>M11+N11+O11</f>
      </c>
      <c r="Q11" s="14">
        <f>IF(L11&lt;=0, 0, MAX(0, SUMPRODUCT(MAX(MIN(L11,FedBracketMax)-FedBracketMin,0)*FedBracketRate) - (FedBasicPersonal + IF(A11&gt;=65, MAX(0, FedAgeAmount - MAX(0, L11-FedAgeThreshold)*FedAgeClawRate), 0) + IF(OR(H11&gt;0, I11&gt;0), FedPensionCredit, 0)) * FedCreditRate))</f>
      </c>
      <c r="R11" s="14">
        <f>L11-Q11</f>
      </c>
      <c r="S11" s="14">
        <f>MAX(0,P11-R11)</f>
      </c>
      <c r="T11" s="14">
        <f>MIN(S11,AM10)</f>
      </c>
      <c r="U11" s="14">
        <f>MAX(0,S11-T11)</f>
      </c>
      <c r="V11" s="14">
        <f>MIN(U11,AN10)</f>
      </c>
      <c r="W11" s="14">
        <f>MAX(0,U11-V11)</f>
      </c>
      <c r="X11" s="16">
        <f>INDEX(FedBracketRate,MATCH(L11,FedBracketMin,1))+INDEX(ProvBracketRate,MATCH(L11,ProvBracketMin,1))</f>
      </c>
      <c r="Y11" s="14">
        <f>IF(W11&gt;0, MIN(IF(X11&gt;=1, W11, W11/(1-X11)), MAX(0,AL10-K11)), 0)</f>
      </c>
      <c r="Z11" s="14">
        <f>K11+Y11</f>
      </c>
      <c r="AA11" s="14">
        <f>IF(W11&gt;Y11*(1-X11), MIN(MAX(0,W11-Y11*(1-X11)),AO10), 0)</f>
      </c>
      <c r="AB11" s="14">
        <f>MIN(Assumptions_OasMaxAnnual, MAX(0,(E11+F11+G11+H11+Z11-Assumptions_OasClawbackThresh)*Assumptions_OasClawbackRate))</f>
      </c>
      <c r="AC11" s="14">
        <f>MAX(0,G11-AB11)</f>
      </c>
      <c r="AD11" s="14">
        <f>V11*IF(AN10&gt;0, MAX(0,1-AS10/AN10), 0)*Assumptions_CapGainsRate</f>
      </c>
      <c r="AE11" s="14">
        <f>E11+F11+AC11+H11+Z11+AD11</f>
      </c>
      <c r="AF11" s="14">
        <f>MAX(0, SUMPRODUCT(MAX(MIN(AE11,FedBracketMax)-FedBracketMin,0)*FedBracketRate) - (FedBasicPersonal + IF(A11&gt;=65, MAX(0, FedAgeAmount - MAX(0, AE11-FedAgeThreshold)*FedAgeClawRate), 0) + IF(OR(H11&gt;0, I11&gt;0), FedPensionCredit, 0)) * FedCreditRate)</f>
      </c>
      <c r="AG11" s="14">
        <f>MAX(0, SUMPRODUCT(MAX(MIN(AE11,ProvBracketMax)-ProvBracketMin,0)*ProvBracketRate) - (ProvBasicPersonal + IF(A11&gt;=65, MAX(0, ProvAgeAmount - MAX(0, AE11-ProvAgeThreshold)*ProvAgeClawRate), 0) + IF(OR(H11&gt;0, I11&gt;0), ProvPensionCredit, 0)) * ProvCreditRate) + MAX(0, (MAX(0, SUMPRODUCT(MAX(MIN(AE11,ProvBracketMax)-ProvBracketMin,0)*ProvBracketRate) - (ProvBasicPersonal + IF(A11&gt;=65, MAX(0, ProvAgeAmount - MAX(0, AE11-ProvAgeThreshold)*ProvAgeClawRate), 0) + IF(OR(H11&gt;0, I11&gt;0), ProvPensionCredit, 0)) * ProvCreditRate)-SurtaxThreshold1)*SurtaxRate1) + MAX(0, (MAX(0, SUMPRODUCT(MAX(MIN(AE11,ProvBracketMax)-ProvBracketMin,0)*ProvBracketRate) - (ProvBasicPersonal + IF(A11&gt;=65, MAX(0, ProvAgeAmount - MAX(0, AE11-ProvAgeThreshold)*ProvAgeClawRate), 0) + IF(OR(H11&gt;0, I11&gt;0), ProvPensionCredit, 0)) * ProvCreditRate)-SurtaxThreshold2)*SurtaxRate2)</f>
      </c>
      <c r="AH11" s="14">
        <f>AF11+AG11</f>
      </c>
      <c r="AI11" s="14">
        <f>E11+F11+AC11+H11+Z11+T11+V11+AA11-AH11</f>
      </c>
      <c r="AJ11" s="14">
        <f>AI11-M11-N11-O11</f>
      </c>
      <c r="AK11" s="14">
        <f>IF(AJ11&gt;0, MIN(AJ11, Assumptions_TfsaAnnualLimit), 0)</f>
      </c>
      <c r="AL11" s="14">
        <f>MAX(0,AL10-Z11)*(1+Assumptions_RealReturn)</f>
      </c>
      <c r="AM11" s="14">
        <f>MAX(0,AM10-T11+AK11)*(1+Assumptions_TfsaReturn)</f>
      </c>
      <c r="AN11" s="14">
        <f>MAX(0,AN10-V11+MAX(0,AJ11-AK11))*(1+Assumptions_NonRegReturn)</f>
      </c>
      <c r="AO11" s="14">
        <f>MAX(0,AO10-AA11)*(1+Assumptions_RealReturn)</f>
      </c>
      <c r="AP11" s="14">
        <f>IF(N11&gt;0, MAX(0, AP10*(1+Assumptions_MortgageRate)-N11), 0)</f>
      </c>
      <c r="AQ11" s="14">
        <f>AL11+AM11+AN11+AO11</f>
      </c>
      <c r="AR11" s="14">
        <f>AQ11+Assumptions_RealEstateValue-AP11</f>
      </c>
      <c r="AS11" s="14">
        <f>MAX(0,AS10*MAX(0,AN10-V11)/IF(AN10&gt;0,AN10,1))+MAX(0,AJ11-AK11)</f>
      </c>
    </row>
    <row r="12" spans="1:45" x14ac:dyDescent="0.25">
      <c r="A12" s="15">
        <f>A11+1</f>
      </c>
      <c r="B12" s="15">
        <f>2026+(A12-Assumptions_CurrentAge)</f>
      </c>
      <c r="C12" s="15">
        <f>IF(A12&gt;=Assumptions_RetirementAge,1,0)</f>
      </c>
      <c r="D12" s="17">
        <f>(1+Assumptions_Inflation)^(A12-Assumptions_CurrentAge)</f>
      </c>
      <c r="E12" s="14">
        <f>IF(AND(C12=0,Assumptions_StillWorking=1),Assumptions_EmploymentIncome*D12,0)</f>
      </c>
      <c r="F12" s="14">
        <f>IF(A12&gt;=Assumptions_CppStartAge, Assumptions_CppMonthly*12*IF((Assumptions_CppStartAge-65)*12&lt;0, 1+(Assumptions_CppStartAge-65)*12*CppEarlyReduction, 1+(Assumptions_CppStartAge-65)*12*CppLateIncrease)*D12, 0)</f>
      </c>
      <c r="G12" s="14">
        <f>IF(A12&gt;=Assumptions_OasStartAge, Assumptions_OasMonthly*12*(1+MAX(0, MIN(Assumptions_OasStartAge, OasMaxDeferAge)-OasStdStartAge)*12*OasDeferralBonus)*D12, 0)</f>
      </c>
      <c r="H12" s="14">
        <f>IF(AND(Assumptions_PensionType="db",A12&gt;=Assumptions_DbPensionStartAge), IF(Assumptions_DbPensionIndexed=1, Assumptions_DbPensionAnnual*D12, Assumptions_DbPensionAnnual), 0)</f>
      </c>
      <c r="I12" s="14">
        <f>IF(AND(A12&gt;=72,AL11&gt;0), VLOOKUP(MIN(A12,95),RrifRates,2,TRUE)*AL11, 0)</f>
      </c>
      <c r="J12" s="14">
        <f>IF(AND(Assumptions_MeltdownEnabled=1,A12&gt;=Assumptions_MeltdownStartAge,A12&lt;Assumptions_MeltdownTargetAge), MIN(Assumptions_MeltdownAnnual,AL11), 0)</f>
      </c>
      <c r="K12" s="14">
        <f>MIN(MAX(I12,J12),AL11)</f>
      </c>
      <c r="L12" s="14">
        <f>E12+F12+G12+H12+K12</f>
      </c>
      <c r="M12" s="14">
        <f>IF(C12=1, Assumptions_MonthlyExpenses*12*(1-Assumptions_ExpenseReduction), Assumptions_MonthlyExpenses*12)*D12</f>
      </c>
      <c r="N12" s="14">
        <f>IF(AND(AP11&gt;0, (A12-Assumptions_CurrentAge)&lt;Assumptions_MortgageYears), IF(Assumptions_MortgageRate=0, AP11/MAX(1,Assumptions_MortgageYears-(A12-Assumptions_CurrentAge)), AP11*Assumptions_MortgageRate*(1+Assumptions_MortgageRate)^MAX(1,Assumptions_MortgageYears-(A12-Assumptions_CurrentAge))/((1+Assumptions_MortgageRate)^MAX(1,Assumptions_MortgageYears-(A12-Assumptions_CurrentAge))-1)), 0)</f>
      </c>
      <c r="O12" s="14">
        <f>IF(AND(Assumptions_ConsumerDebt&gt;0, A12&lt;Assumptions_ConsumerPayoffAge), IF(Assumptions_ConsumerDebtRate=0, Assumptions_ConsumerDebt/MAX(1,Assumptions_ConsumerPayoffAge-Assumptions_CurrentAge-(A12-Assumptions_CurrentAge)), Assumptions_ConsumerDebt*Assumptions_ConsumerDebtRate*(1+Assumptions_ConsumerDebtRate)^MAX(1,Assumptions_ConsumerPayoffAge-Assumptions_CurrentAge-(A12-Assumptions_CurrentAge))/((1+Assumptions_ConsumerDebtRate)^MAX(1,Assumptions_ConsumerPayoffAge-Assumptions_CurrentAge-(A12-Assumptions_CurrentAge))-1)), 0)+IF(AND(Assumptions_OtherDebt&gt;0, A12&lt;Assumptions_OtherPayoffAge), IF(Assumptions_OtherDebtRate=0, Assumptions_OtherDebt/MAX(1,Assumptions_OtherPayoffAge-Assumptions_CurrentAge-(A12-Assumptions_CurrentAge)), Assumptions_OtherDebt*Assumptions_OtherDebtRate*(1+Assumptions_OtherDebtRate)^MAX(1,Assumptions_OtherPayoffAge-Assumptions_CurrentAge-(A12-Assumptions_CurrentAge))/((1+Assumptions_OtherDebtRate)^MAX(1,Assumptions_OtherPayoffAge-Assumptions_CurrentAge-(A12-Assumptions_CurrentAge))-1)), 0)</f>
      </c>
      <c r="P12" s="14">
        <f>M12+N12+O12</f>
      </c>
      <c r="Q12" s="14">
        <f>IF(L12&lt;=0, 0, MAX(0, SUMPRODUCT(MAX(MIN(L12,FedBracketMax)-FedBracketMin,0)*FedBracketRate) - (FedBasicPersonal + IF(A12&gt;=65, MAX(0, FedAgeAmount - MAX(0, L12-FedAgeThreshold)*FedAgeClawRate), 0) + IF(OR(H12&gt;0, I12&gt;0), FedPensionCredit, 0)) * FedCreditRate))</f>
      </c>
      <c r="R12" s="14">
        <f>L12-Q12</f>
      </c>
      <c r="S12" s="14">
        <f>MAX(0,P12-R12)</f>
      </c>
      <c r="T12" s="14">
        <f>MIN(S12,AM11)</f>
      </c>
      <c r="U12" s="14">
        <f>MAX(0,S12-T12)</f>
      </c>
      <c r="V12" s="14">
        <f>MIN(U12,AN11)</f>
      </c>
      <c r="W12" s="14">
        <f>MAX(0,U12-V12)</f>
      </c>
      <c r="X12" s="16">
        <f>INDEX(FedBracketRate,MATCH(L12,FedBracketMin,1))+INDEX(ProvBracketRate,MATCH(L12,ProvBracketMin,1))</f>
      </c>
      <c r="Y12" s="14">
        <f>IF(W12&gt;0, MIN(IF(X12&gt;=1, W12, W12/(1-X12)), MAX(0,AL11-K12)), 0)</f>
      </c>
      <c r="Z12" s="14">
        <f>K12+Y12</f>
      </c>
      <c r="AA12" s="14">
        <f>IF(W12&gt;Y12*(1-X12), MIN(MAX(0,W12-Y12*(1-X12)),AO11), 0)</f>
      </c>
      <c r="AB12" s="14">
        <f>MIN(Assumptions_OasMaxAnnual, MAX(0,(E12+F12+G12+H12+Z12-Assumptions_OasClawbackThresh)*Assumptions_OasClawbackRate))</f>
      </c>
      <c r="AC12" s="14">
        <f>MAX(0,G12-AB12)</f>
      </c>
      <c r="AD12" s="14">
        <f>V12*IF(AN11&gt;0, MAX(0,1-AS11/AN11), 0)*Assumptions_CapGainsRate</f>
      </c>
      <c r="AE12" s="14">
        <f>E12+F12+AC12+H12+Z12+AD12</f>
      </c>
      <c r="AF12" s="14">
        <f>MAX(0, SUMPRODUCT(MAX(MIN(AE12,FedBracketMax)-FedBracketMin,0)*FedBracketRate) - (FedBasicPersonal + IF(A12&gt;=65, MAX(0, FedAgeAmount - MAX(0, AE12-FedAgeThreshold)*FedAgeClawRate), 0) + IF(OR(H12&gt;0, I12&gt;0), FedPensionCredit, 0)) * FedCreditRate)</f>
      </c>
      <c r="AG12" s="14">
        <f>MAX(0, SUMPRODUCT(MAX(MIN(AE12,ProvBracketMax)-ProvBracketMin,0)*ProvBracketRate) - (ProvBasicPersonal + IF(A12&gt;=65, MAX(0, ProvAgeAmount - MAX(0, AE12-ProvAgeThreshold)*ProvAgeClawRate), 0) + IF(OR(H12&gt;0, I12&gt;0), ProvPensionCredit, 0)) * ProvCreditRate) + MAX(0, (MAX(0, SUMPRODUCT(MAX(MIN(AE12,ProvBracketMax)-ProvBracketMin,0)*ProvBracketRate) - (ProvBasicPersonal + IF(A12&gt;=65, MAX(0, ProvAgeAmount - MAX(0, AE12-ProvAgeThreshold)*ProvAgeClawRate), 0) + IF(OR(H12&gt;0, I12&gt;0), ProvPensionCredit, 0)) * ProvCreditRate)-SurtaxThreshold1)*SurtaxRate1) + MAX(0, (MAX(0, SUMPRODUCT(MAX(MIN(AE12,ProvBracketMax)-ProvBracketMin,0)*ProvBracketRate) - (ProvBasicPersonal + IF(A12&gt;=65, MAX(0, ProvAgeAmount - MAX(0, AE12-ProvAgeThreshold)*ProvAgeClawRate), 0) + IF(OR(H12&gt;0, I12&gt;0), ProvPensionCredit, 0)) * ProvCreditRate)-SurtaxThreshold2)*SurtaxRate2)</f>
      </c>
      <c r="AH12" s="14">
        <f>AF12+AG12</f>
      </c>
      <c r="AI12" s="14">
        <f>E12+F12+AC12+H12+Z12+T12+V12+AA12-AH12</f>
      </c>
      <c r="AJ12" s="14">
        <f>AI12-M12-N12-O12</f>
      </c>
      <c r="AK12" s="14">
        <f>IF(AJ12&gt;0, MIN(AJ12, Assumptions_TfsaAnnualLimit), 0)</f>
      </c>
      <c r="AL12" s="14">
        <f>MAX(0,AL11-Z12)*(1+Assumptions_RealReturn)</f>
      </c>
      <c r="AM12" s="14">
        <f>MAX(0,AM11-T12+AK12)*(1+Assumptions_TfsaReturn)</f>
      </c>
      <c r="AN12" s="14">
        <f>MAX(0,AN11-V12+MAX(0,AJ12-AK12))*(1+Assumptions_NonRegReturn)</f>
      </c>
      <c r="AO12" s="14">
        <f>MAX(0,AO11-AA12)*(1+Assumptions_RealReturn)</f>
      </c>
      <c r="AP12" s="14">
        <f>IF(N12&gt;0, MAX(0, AP11*(1+Assumptions_MortgageRate)-N12), 0)</f>
      </c>
      <c r="AQ12" s="14">
        <f>AL12+AM12+AN12+AO12</f>
      </c>
      <c r="AR12" s="14">
        <f>AQ12+Assumptions_RealEstateValue-AP12</f>
      </c>
      <c r="AS12" s="14">
        <f>MAX(0,AS11*MAX(0,AN11-V12)/IF(AN11&gt;0,AN11,1))+MAX(0,AJ12-AK12)</f>
      </c>
    </row>
    <row r="13" spans="1:45" x14ac:dyDescent="0.25">
      <c r="A13" s="15">
        <f>A12+1</f>
      </c>
      <c r="B13" s="15">
        <f>2026+(A13-Assumptions_CurrentAge)</f>
      </c>
      <c r="C13" s="15">
        <f>IF(A13&gt;=Assumptions_RetirementAge,1,0)</f>
      </c>
      <c r="D13" s="17">
        <f>(1+Assumptions_Inflation)^(A13-Assumptions_CurrentAge)</f>
      </c>
      <c r="E13" s="14">
        <f>IF(AND(C13=0,Assumptions_StillWorking=1),Assumptions_EmploymentIncome*D13,0)</f>
      </c>
      <c r="F13" s="14">
        <f>IF(A13&gt;=Assumptions_CppStartAge, Assumptions_CppMonthly*12*IF((Assumptions_CppStartAge-65)*12&lt;0, 1+(Assumptions_CppStartAge-65)*12*CppEarlyReduction, 1+(Assumptions_CppStartAge-65)*12*CppLateIncrease)*D13, 0)</f>
      </c>
      <c r="G13" s="14">
        <f>IF(A13&gt;=Assumptions_OasStartAge, Assumptions_OasMonthly*12*(1+MAX(0, MIN(Assumptions_OasStartAge, OasMaxDeferAge)-OasStdStartAge)*12*OasDeferralBonus)*D13, 0)</f>
      </c>
      <c r="H13" s="14">
        <f>IF(AND(Assumptions_PensionType="db",A13&gt;=Assumptions_DbPensionStartAge), IF(Assumptions_DbPensionIndexed=1, Assumptions_DbPensionAnnual*D13, Assumptions_DbPensionAnnual), 0)</f>
      </c>
      <c r="I13" s="14">
        <f>IF(AND(A13&gt;=72,AL12&gt;0), VLOOKUP(MIN(A13,95),RrifRates,2,TRUE)*AL12, 0)</f>
      </c>
      <c r="J13" s="14">
        <f>IF(AND(Assumptions_MeltdownEnabled=1,A13&gt;=Assumptions_MeltdownStartAge,A13&lt;Assumptions_MeltdownTargetAge), MIN(Assumptions_MeltdownAnnual,AL12), 0)</f>
      </c>
      <c r="K13" s="14">
        <f>MIN(MAX(I13,J13),AL12)</f>
      </c>
      <c r="L13" s="14">
        <f>E13+F13+G13+H13+K13</f>
      </c>
      <c r="M13" s="14">
        <f>IF(C13=1, Assumptions_MonthlyExpenses*12*(1-Assumptions_ExpenseReduction), Assumptions_MonthlyExpenses*12)*D13</f>
      </c>
      <c r="N13" s="14">
        <f>IF(AND(AP12&gt;0, (A13-Assumptions_CurrentAge)&lt;Assumptions_MortgageYears), IF(Assumptions_MortgageRate=0, AP12/MAX(1,Assumptions_MortgageYears-(A13-Assumptions_CurrentAge)), AP12*Assumptions_MortgageRate*(1+Assumptions_MortgageRate)^MAX(1,Assumptions_MortgageYears-(A13-Assumptions_CurrentAge))/((1+Assumptions_MortgageRate)^MAX(1,Assumptions_MortgageYears-(A13-Assumptions_CurrentAge))-1)), 0)</f>
      </c>
      <c r="O13" s="14">
        <f>IF(AND(Assumptions_ConsumerDebt&gt;0, A13&lt;Assumptions_ConsumerPayoffAge), IF(Assumptions_ConsumerDebtRate=0, Assumptions_ConsumerDebt/MAX(1,Assumptions_ConsumerPayoffAge-Assumptions_CurrentAge-(A13-Assumptions_CurrentAge)), Assumptions_ConsumerDebt*Assumptions_ConsumerDebtRate*(1+Assumptions_ConsumerDebtRate)^MAX(1,Assumptions_ConsumerPayoffAge-Assumptions_CurrentAge-(A13-Assumptions_CurrentAge))/((1+Assumptions_ConsumerDebtRate)^MAX(1,Assumptions_ConsumerPayoffAge-Assumptions_CurrentAge-(A13-Assumptions_CurrentAge))-1)), 0)+IF(AND(Assumptions_OtherDebt&gt;0, A13&lt;Assumptions_OtherPayoffAge), IF(Assumptions_OtherDebtRate=0, Assumptions_OtherDebt/MAX(1,Assumptions_OtherPayoffAge-Assumptions_CurrentAge-(A13-Assumptions_CurrentAge)), Assumptions_OtherDebt*Assumptions_OtherDebtRate*(1+Assumptions_OtherDebtRate)^MAX(1,Assumptions_OtherPayoffAge-Assumptions_CurrentAge-(A13-Assumptions_CurrentAge))/((1+Assumptions_OtherDebtRate)^MAX(1,Assumptions_OtherPayoffAge-Assumptions_CurrentAge-(A13-Assumptions_CurrentAge))-1)), 0)</f>
      </c>
      <c r="P13" s="14">
        <f>M13+N13+O13</f>
      </c>
      <c r="Q13" s="14">
        <f>IF(L13&lt;=0, 0, MAX(0, SUMPRODUCT(MAX(MIN(L13,FedBracketMax)-FedBracketMin,0)*FedBracketRate) - (FedBasicPersonal + IF(A13&gt;=65, MAX(0, FedAgeAmount - MAX(0, L13-FedAgeThreshold)*FedAgeClawRate), 0) + IF(OR(H13&gt;0, I13&gt;0), FedPensionCredit, 0)) * FedCreditRate))</f>
      </c>
      <c r="R13" s="14">
        <f>L13-Q13</f>
      </c>
      <c r="S13" s="14">
        <f>MAX(0,P13-R13)</f>
      </c>
      <c r="T13" s="14">
        <f>MIN(S13,AM12)</f>
      </c>
      <c r="U13" s="14">
        <f>MAX(0,S13-T13)</f>
      </c>
      <c r="V13" s="14">
        <f>MIN(U13,AN12)</f>
      </c>
      <c r="W13" s="14">
        <f>MAX(0,U13-V13)</f>
      </c>
      <c r="X13" s="16">
        <f>INDEX(FedBracketRate,MATCH(L13,FedBracketMin,1))+INDEX(ProvBracketRate,MATCH(L13,ProvBracketMin,1))</f>
      </c>
      <c r="Y13" s="14">
        <f>IF(W13&gt;0, MIN(IF(X13&gt;=1, W13, W13/(1-X13)), MAX(0,AL12-K13)), 0)</f>
      </c>
      <c r="Z13" s="14">
        <f>K13+Y13</f>
      </c>
      <c r="AA13" s="14">
        <f>IF(W13&gt;Y13*(1-X13), MIN(MAX(0,W13-Y13*(1-X13)),AO12), 0)</f>
      </c>
      <c r="AB13" s="14">
        <f>MIN(Assumptions_OasMaxAnnual, MAX(0,(E13+F13+G13+H13+Z13-Assumptions_OasClawbackThresh)*Assumptions_OasClawbackRate))</f>
      </c>
      <c r="AC13" s="14">
        <f>MAX(0,G13-AB13)</f>
      </c>
      <c r="AD13" s="14">
        <f>V13*IF(AN12&gt;0, MAX(0,1-AS12/AN12), 0)*Assumptions_CapGainsRate</f>
      </c>
      <c r="AE13" s="14">
        <f>E13+F13+AC13+H13+Z13+AD13</f>
      </c>
      <c r="AF13" s="14">
        <f>MAX(0, SUMPRODUCT(MAX(MIN(AE13,FedBracketMax)-FedBracketMin,0)*FedBracketRate) - (FedBasicPersonal + IF(A13&gt;=65, MAX(0, FedAgeAmount - MAX(0, AE13-FedAgeThreshold)*FedAgeClawRate), 0) + IF(OR(H13&gt;0, I13&gt;0), FedPensionCredit, 0)) * FedCreditRate)</f>
      </c>
      <c r="AG13" s="14">
        <f>MAX(0, SUMPRODUCT(MAX(MIN(AE13,ProvBracketMax)-ProvBracketMin,0)*ProvBracketRate) - (ProvBasicPersonal + IF(A13&gt;=65, MAX(0, ProvAgeAmount - MAX(0, AE13-ProvAgeThreshold)*ProvAgeClawRate), 0) + IF(OR(H13&gt;0, I13&gt;0), ProvPensionCredit, 0)) * ProvCreditRate) + MAX(0, (MAX(0, SUMPRODUCT(MAX(MIN(AE13,ProvBracketMax)-ProvBracketMin,0)*ProvBracketRate) - (ProvBasicPersonal + IF(A13&gt;=65, MAX(0, ProvAgeAmount - MAX(0, AE13-ProvAgeThreshold)*ProvAgeClawRate), 0) + IF(OR(H13&gt;0, I13&gt;0), ProvPensionCredit, 0)) * ProvCreditRate)-SurtaxThreshold1)*SurtaxRate1) + MAX(0, (MAX(0, SUMPRODUCT(MAX(MIN(AE13,ProvBracketMax)-ProvBracketMin,0)*ProvBracketRate) - (ProvBasicPersonal + IF(A13&gt;=65, MAX(0, ProvAgeAmount - MAX(0, AE13-ProvAgeThreshold)*ProvAgeClawRate), 0) + IF(OR(H13&gt;0, I13&gt;0), ProvPensionCredit, 0)) * ProvCreditRate)-SurtaxThreshold2)*SurtaxRate2)</f>
      </c>
      <c r="AH13" s="14">
        <f>AF13+AG13</f>
      </c>
      <c r="AI13" s="14">
        <f>E13+F13+AC13+H13+Z13+T13+V13+AA13-AH13</f>
      </c>
      <c r="AJ13" s="14">
        <f>AI13-M13-N13-O13</f>
      </c>
      <c r="AK13" s="14">
        <f>IF(AJ13&gt;0, MIN(AJ13, Assumptions_TfsaAnnualLimit), 0)</f>
      </c>
      <c r="AL13" s="14">
        <f>MAX(0,AL12-Z13)*(1+Assumptions_RealReturn)</f>
      </c>
      <c r="AM13" s="14">
        <f>MAX(0,AM12-T13+AK13)*(1+Assumptions_TfsaReturn)</f>
      </c>
      <c r="AN13" s="14">
        <f>MAX(0,AN12-V13+MAX(0,AJ13-AK13))*(1+Assumptions_NonRegReturn)</f>
      </c>
      <c r="AO13" s="14">
        <f>MAX(0,AO12-AA13)*(1+Assumptions_RealReturn)</f>
      </c>
      <c r="AP13" s="14">
        <f>IF(N13&gt;0, MAX(0, AP12*(1+Assumptions_MortgageRate)-N13), 0)</f>
      </c>
      <c r="AQ13" s="14">
        <f>AL13+AM13+AN13+AO13</f>
      </c>
      <c r="AR13" s="14">
        <f>AQ13+Assumptions_RealEstateValue-AP13</f>
      </c>
      <c r="AS13" s="14">
        <f>MAX(0,AS12*MAX(0,AN12-V13)/IF(AN12&gt;0,AN12,1))+MAX(0,AJ13-AK13)</f>
      </c>
    </row>
    <row r="14" spans="1:45" x14ac:dyDescent="0.25">
      <c r="A14" s="15">
        <f>A13+1</f>
      </c>
      <c r="B14" s="15">
        <f>2026+(A14-Assumptions_CurrentAge)</f>
      </c>
      <c r="C14" s="15">
        <f>IF(A14&gt;=Assumptions_RetirementAge,1,0)</f>
      </c>
      <c r="D14" s="17">
        <f>(1+Assumptions_Inflation)^(A14-Assumptions_CurrentAge)</f>
      </c>
      <c r="E14" s="14">
        <f>IF(AND(C14=0,Assumptions_StillWorking=1),Assumptions_EmploymentIncome*D14,0)</f>
      </c>
      <c r="F14" s="14">
        <f>IF(A14&gt;=Assumptions_CppStartAge, Assumptions_CppMonthly*12*IF((Assumptions_CppStartAge-65)*12&lt;0, 1+(Assumptions_CppStartAge-65)*12*CppEarlyReduction, 1+(Assumptions_CppStartAge-65)*12*CppLateIncrease)*D14, 0)</f>
      </c>
      <c r="G14" s="14">
        <f>IF(A14&gt;=Assumptions_OasStartAge, Assumptions_OasMonthly*12*(1+MAX(0, MIN(Assumptions_OasStartAge, OasMaxDeferAge)-OasStdStartAge)*12*OasDeferralBonus)*D14, 0)</f>
      </c>
      <c r="H14" s="14">
        <f>IF(AND(Assumptions_PensionType="db",A14&gt;=Assumptions_DbPensionStartAge), IF(Assumptions_DbPensionIndexed=1, Assumptions_DbPensionAnnual*D14, Assumptions_DbPensionAnnual), 0)</f>
      </c>
      <c r="I14" s="14">
        <f>IF(AND(A14&gt;=72,AL13&gt;0), VLOOKUP(MIN(A14,95),RrifRates,2,TRUE)*AL13, 0)</f>
      </c>
      <c r="J14" s="14">
        <f>IF(AND(Assumptions_MeltdownEnabled=1,A14&gt;=Assumptions_MeltdownStartAge,A14&lt;Assumptions_MeltdownTargetAge), MIN(Assumptions_MeltdownAnnual,AL13), 0)</f>
      </c>
      <c r="K14" s="14">
        <f>MIN(MAX(I14,J14),AL13)</f>
      </c>
      <c r="L14" s="14">
        <f>E14+F14+G14+H14+K14</f>
      </c>
      <c r="M14" s="14">
        <f>IF(C14=1, Assumptions_MonthlyExpenses*12*(1-Assumptions_ExpenseReduction), Assumptions_MonthlyExpenses*12)*D14</f>
      </c>
      <c r="N14" s="14">
        <f>IF(AND(AP13&gt;0, (A14-Assumptions_CurrentAge)&lt;Assumptions_MortgageYears), IF(Assumptions_MortgageRate=0, AP13/MAX(1,Assumptions_MortgageYears-(A14-Assumptions_CurrentAge)), AP13*Assumptions_MortgageRate*(1+Assumptions_MortgageRate)^MAX(1,Assumptions_MortgageYears-(A14-Assumptions_CurrentAge))/((1+Assumptions_MortgageRate)^MAX(1,Assumptions_MortgageYears-(A14-Assumptions_CurrentAge))-1)), 0)</f>
      </c>
      <c r="O14" s="14">
        <f>IF(AND(Assumptions_ConsumerDebt&gt;0, A14&lt;Assumptions_ConsumerPayoffAge), IF(Assumptions_ConsumerDebtRate=0, Assumptions_ConsumerDebt/MAX(1,Assumptions_ConsumerPayoffAge-Assumptions_CurrentAge-(A14-Assumptions_CurrentAge)), Assumptions_ConsumerDebt*Assumptions_ConsumerDebtRate*(1+Assumptions_ConsumerDebtRate)^MAX(1,Assumptions_ConsumerPayoffAge-Assumptions_CurrentAge-(A14-Assumptions_CurrentAge))/((1+Assumptions_ConsumerDebtRate)^MAX(1,Assumptions_ConsumerPayoffAge-Assumptions_CurrentAge-(A14-Assumptions_CurrentAge))-1)), 0)+IF(AND(Assumptions_OtherDebt&gt;0, A14&lt;Assumptions_OtherPayoffAge), IF(Assumptions_OtherDebtRate=0, Assumptions_OtherDebt/MAX(1,Assumptions_OtherPayoffAge-Assumptions_CurrentAge-(A14-Assumptions_CurrentAge)), Assumptions_OtherDebt*Assumptions_OtherDebtRate*(1+Assumptions_OtherDebtRate)^MAX(1,Assumptions_OtherPayoffAge-Assumptions_CurrentAge-(A14-Assumptions_CurrentAge))/((1+Assumptions_OtherDebtRate)^MAX(1,Assumptions_OtherPayoffAge-Assumptions_CurrentAge-(A14-Assumptions_CurrentAge))-1)), 0)</f>
      </c>
      <c r="P14" s="14">
        <f>M14+N14+O14</f>
      </c>
      <c r="Q14" s="14">
        <f>IF(L14&lt;=0, 0, MAX(0, SUMPRODUCT(MAX(MIN(L14,FedBracketMax)-FedBracketMin,0)*FedBracketRate) - (FedBasicPersonal + IF(A14&gt;=65, MAX(0, FedAgeAmount - MAX(0, L14-FedAgeThreshold)*FedAgeClawRate), 0) + IF(OR(H14&gt;0, I14&gt;0), FedPensionCredit, 0)) * FedCreditRate))</f>
      </c>
      <c r="R14" s="14">
        <f>L14-Q14</f>
      </c>
      <c r="S14" s="14">
        <f>MAX(0,P14-R14)</f>
      </c>
      <c r="T14" s="14">
        <f>MIN(S14,AM13)</f>
      </c>
      <c r="U14" s="14">
        <f>MAX(0,S14-T14)</f>
      </c>
      <c r="V14" s="14">
        <f>MIN(U14,AN13)</f>
      </c>
      <c r="W14" s="14">
        <f>MAX(0,U14-V14)</f>
      </c>
      <c r="X14" s="16">
        <f>INDEX(FedBracketRate,MATCH(L14,FedBracketMin,1))+INDEX(ProvBracketRate,MATCH(L14,ProvBracketMin,1))</f>
      </c>
      <c r="Y14" s="14">
        <f>IF(W14&gt;0, MIN(IF(X14&gt;=1, W14, W14/(1-X14)), MAX(0,AL13-K14)), 0)</f>
      </c>
      <c r="Z14" s="14">
        <f>K14+Y14</f>
      </c>
      <c r="AA14" s="14">
        <f>IF(W14&gt;Y14*(1-X14), MIN(MAX(0,W14-Y14*(1-X14)),AO13), 0)</f>
      </c>
      <c r="AB14" s="14">
        <f>MIN(Assumptions_OasMaxAnnual, MAX(0,(E14+F14+G14+H14+Z14-Assumptions_OasClawbackThresh)*Assumptions_OasClawbackRate))</f>
      </c>
      <c r="AC14" s="14">
        <f>MAX(0,G14-AB14)</f>
      </c>
      <c r="AD14" s="14">
        <f>V14*IF(AN13&gt;0, MAX(0,1-AS13/AN13), 0)*Assumptions_CapGainsRate</f>
      </c>
      <c r="AE14" s="14">
        <f>E14+F14+AC14+H14+Z14+AD14</f>
      </c>
      <c r="AF14" s="14">
        <f>MAX(0, SUMPRODUCT(MAX(MIN(AE14,FedBracketMax)-FedBracketMin,0)*FedBracketRate) - (FedBasicPersonal + IF(A14&gt;=65, MAX(0, FedAgeAmount - MAX(0, AE14-FedAgeThreshold)*FedAgeClawRate), 0) + IF(OR(H14&gt;0, I14&gt;0), FedPensionCredit, 0)) * FedCreditRate)</f>
      </c>
      <c r="AG14" s="14">
        <f>MAX(0, SUMPRODUCT(MAX(MIN(AE14,ProvBracketMax)-ProvBracketMin,0)*ProvBracketRate) - (ProvBasicPersonal + IF(A14&gt;=65, MAX(0, ProvAgeAmount - MAX(0, AE14-ProvAgeThreshold)*ProvAgeClawRate), 0) + IF(OR(H14&gt;0, I14&gt;0), ProvPensionCredit, 0)) * ProvCreditRate) + MAX(0, (MAX(0, SUMPRODUCT(MAX(MIN(AE14,ProvBracketMax)-ProvBracketMin,0)*ProvBracketRate) - (ProvBasicPersonal + IF(A14&gt;=65, MAX(0, ProvAgeAmount - MAX(0, AE14-ProvAgeThreshold)*ProvAgeClawRate), 0) + IF(OR(H14&gt;0, I14&gt;0), ProvPensionCredit, 0)) * ProvCreditRate)-SurtaxThreshold1)*SurtaxRate1) + MAX(0, (MAX(0, SUMPRODUCT(MAX(MIN(AE14,ProvBracketMax)-ProvBracketMin,0)*ProvBracketRate) - (ProvBasicPersonal + IF(A14&gt;=65, MAX(0, ProvAgeAmount - MAX(0, AE14-ProvAgeThreshold)*ProvAgeClawRate), 0) + IF(OR(H14&gt;0, I14&gt;0), ProvPensionCredit, 0)) * ProvCreditRate)-SurtaxThreshold2)*SurtaxRate2)</f>
      </c>
      <c r="AH14" s="14">
        <f>AF14+AG14</f>
      </c>
      <c r="AI14" s="14">
        <f>E14+F14+AC14+H14+Z14+T14+V14+AA14-AH14</f>
      </c>
      <c r="AJ14" s="14">
        <f>AI14-M14-N14-O14</f>
      </c>
      <c r="AK14" s="14">
        <f>IF(AJ14&gt;0, MIN(AJ14, Assumptions_TfsaAnnualLimit), 0)</f>
      </c>
      <c r="AL14" s="14">
        <f>MAX(0,AL13-Z14)*(1+Assumptions_RealReturn)</f>
      </c>
      <c r="AM14" s="14">
        <f>MAX(0,AM13-T14+AK14)*(1+Assumptions_TfsaReturn)</f>
      </c>
      <c r="AN14" s="14">
        <f>MAX(0,AN13-V14+MAX(0,AJ14-AK14))*(1+Assumptions_NonRegReturn)</f>
      </c>
      <c r="AO14" s="14">
        <f>MAX(0,AO13-AA14)*(1+Assumptions_RealReturn)</f>
      </c>
      <c r="AP14" s="14">
        <f>IF(N14&gt;0, MAX(0, AP13*(1+Assumptions_MortgageRate)-N14), 0)</f>
      </c>
      <c r="AQ14" s="14">
        <f>AL14+AM14+AN14+AO14</f>
      </c>
      <c r="AR14" s="14">
        <f>AQ14+Assumptions_RealEstateValue-AP14</f>
      </c>
      <c r="AS14" s="14">
        <f>MAX(0,AS13*MAX(0,AN13-V14)/IF(AN13&gt;0,AN13,1))+MAX(0,AJ14-AK14)</f>
      </c>
    </row>
    <row r="15" spans="1:45" x14ac:dyDescent="0.25">
      <c r="A15" s="15">
        <f>A14+1</f>
      </c>
      <c r="B15" s="15">
        <f>2026+(A15-Assumptions_CurrentAge)</f>
      </c>
      <c r="C15" s="15">
        <f>IF(A15&gt;=Assumptions_RetirementAge,1,0)</f>
      </c>
      <c r="D15" s="17">
        <f>(1+Assumptions_Inflation)^(A15-Assumptions_CurrentAge)</f>
      </c>
      <c r="E15" s="14">
        <f>IF(AND(C15=0,Assumptions_StillWorking=1),Assumptions_EmploymentIncome*D15,0)</f>
      </c>
      <c r="F15" s="14">
        <f>IF(A15&gt;=Assumptions_CppStartAge, Assumptions_CppMonthly*12*IF((Assumptions_CppStartAge-65)*12&lt;0, 1+(Assumptions_CppStartAge-65)*12*CppEarlyReduction, 1+(Assumptions_CppStartAge-65)*12*CppLateIncrease)*D15, 0)</f>
      </c>
      <c r="G15" s="14">
        <f>IF(A15&gt;=Assumptions_OasStartAge, Assumptions_OasMonthly*12*(1+MAX(0, MIN(Assumptions_OasStartAge, OasMaxDeferAge)-OasStdStartAge)*12*OasDeferralBonus)*D15, 0)</f>
      </c>
      <c r="H15" s="14">
        <f>IF(AND(Assumptions_PensionType="db",A15&gt;=Assumptions_DbPensionStartAge), IF(Assumptions_DbPensionIndexed=1, Assumptions_DbPensionAnnual*D15, Assumptions_DbPensionAnnual), 0)</f>
      </c>
      <c r="I15" s="14">
        <f>IF(AND(A15&gt;=72,AL14&gt;0), VLOOKUP(MIN(A15,95),RrifRates,2,TRUE)*AL14, 0)</f>
      </c>
      <c r="J15" s="14">
        <f>IF(AND(Assumptions_MeltdownEnabled=1,A15&gt;=Assumptions_MeltdownStartAge,A15&lt;Assumptions_MeltdownTargetAge), MIN(Assumptions_MeltdownAnnual,AL14), 0)</f>
      </c>
      <c r="K15" s="14">
        <f>MIN(MAX(I15,J15),AL14)</f>
      </c>
      <c r="L15" s="14">
        <f>E15+F15+G15+H15+K15</f>
      </c>
      <c r="M15" s="14">
        <f>IF(C15=1, Assumptions_MonthlyExpenses*12*(1-Assumptions_ExpenseReduction), Assumptions_MonthlyExpenses*12)*D15</f>
      </c>
      <c r="N15" s="14">
        <f>IF(AND(AP14&gt;0, (A15-Assumptions_CurrentAge)&lt;Assumptions_MortgageYears), IF(Assumptions_MortgageRate=0, AP14/MAX(1,Assumptions_MortgageYears-(A15-Assumptions_CurrentAge)), AP14*Assumptions_MortgageRate*(1+Assumptions_MortgageRate)^MAX(1,Assumptions_MortgageYears-(A15-Assumptions_CurrentAge))/((1+Assumptions_MortgageRate)^MAX(1,Assumptions_MortgageYears-(A15-Assumptions_CurrentAge))-1)), 0)</f>
      </c>
      <c r="O15" s="14">
        <f>IF(AND(Assumptions_ConsumerDebt&gt;0, A15&lt;Assumptions_ConsumerPayoffAge), IF(Assumptions_ConsumerDebtRate=0, Assumptions_ConsumerDebt/MAX(1,Assumptions_ConsumerPayoffAge-Assumptions_CurrentAge-(A15-Assumptions_CurrentAge)), Assumptions_ConsumerDebt*Assumptions_ConsumerDebtRate*(1+Assumptions_ConsumerDebtRate)^MAX(1,Assumptions_ConsumerPayoffAge-Assumptions_CurrentAge-(A15-Assumptions_CurrentAge))/((1+Assumptions_ConsumerDebtRate)^MAX(1,Assumptions_ConsumerPayoffAge-Assumptions_CurrentAge-(A15-Assumptions_CurrentAge))-1)), 0)+IF(AND(Assumptions_OtherDebt&gt;0, A15&lt;Assumptions_OtherPayoffAge), IF(Assumptions_OtherDebtRate=0, Assumptions_OtherDebt/MAX(1,Assumptions_OtherPayoffAge-Assumptions_CurrentAge-(A15-Assumptions_CurrentAge)), Assumptions_OtherDebt*Assumptions_OtherDebtRate*(1+Assumptions_OtherDebtRate)^MAX(1,Assumptions_OtherPayoffAge-Assumptions_CurrentAge-(A15-Assumptions_CurrentAge))/((1+Assumptions_OtherDebtRate)^MAX(1,Assumptions_OtherPayoffAge-Assumptions_CurrentAge-(A15-Assumptions_CurrentAge))-1)), 0)</f>
      </c>
      <c r="P15" s="14">
        <f>M15+N15+O15</f>
      </c>
      <c r="Q15" s="14">
        <f>IF(L15&lt;=0, 0, MAX(0, SUMPRODUCT(MAX(MIN(L15,FedBracketMax)-FedBracketMin,0)*FedBracketRate) - (FedBasicPersonal + IF(A15&gt;=65, MAX(0, FedAgeAmount - MAX(0, L15-FedAgeThreshold)*FedAgeClawRate), 0) + IF(OR(H15&gt;0, I15&gt;0), FedPensionCredit, 0)) * FedCreditRate))</f>
      </c>
      <c r="R15" s="14">
        <f>L15-Q15</f>
      </c>
      <c r="S15" s="14">
        <f>MAX(0,P15-R15)</f>
      </c>
      <c r="T15" s="14">
        <f>MIN(S15,AM14)</f>
      </c>
      <c r="U15" s="14">
        <f>MAX(0,S15-T15)</f>
      </c>
      <c r="V15" s="14">
        <f>MIN(U15,AN14)</f>
      </c>
      <c r="W15" s="14">
        <f>MAX(0,U15-V15)</f>
      </c>
      <c r="X15" s="16">
        <f>INDEX(FedBracketRate,MATCH(L15,FedBracketMin,1))+INDEX(ProvBracketRate,MATCH(L15,ProvBracketMin,1))</f>
      </c>
      <c r="Y15" s="14">
        <f>IF(W15&gt;0, MIN(IF(X15&gt;=1, W15, W15/(1-X15)), MAX(0,AL14-K15)), 0)</f>
      </c>
      <c r="Z15" s="14">
        <f>K15+Y15</f>
      </c>
      <c r="AA15" s="14">
        <f>IF(W15&gt;Y15*(1-X15), MIN(MAX(0,W15-Y15*(1-X15)),AO14), 0)</f>
      </c>
      <c r="AB15" s="14">
        <f>MIN(Assumptions_OasMaxAnnual, MAX(0,(E15+F15+G15+H15+Z15-Assumptions_OasClawbackThresh)*Assumptions_OasClawbackRate))</f>
      </c>
      <c r="AC15" s="14">
        <f>MAX(0,G15-AB15)</f>
      </c>
      <c r="AD15" s="14">
        <f>V15*IF(AN14&gt;0, MAX(0,1-AS14/AN14), 0)*Assumptions_CapGainsRate</f>
      </c>
      <c r="AE15" s="14">
        <f>E15+F15+AC15+H15+Z15+AD15</f>
      </c>
      <c r="AF15" s="14">
        <f>MAX(0, SUMPRODUCT(MAX(MIN(AE15,FedBracketMax)-FedBracketMin,0)*FedBracketRate) - (FedBasicPersonal + IF(A15&gt;=65, MAX(0, FedAgeAmount - MAX(0, AE15-FedAgeThreshold)*FedAgeClawRate), 0) + IF(OR(H15&gt;0, I15&gt;0), FedPensionCredit, 0)) * FedCreditRate)</f>
      </c>
      <c r="AG15" s="14">
        <f>MAX(0, SUMPRODUCT(MAX(MIN(AE15,ProvBracketMax)-ProvBracketMin,0)*ProvBracketRate) - (ProvBasicPersonal + IF(A15&gt;=65, MAX(0, ProvAgeAmount - MAX(0, AE15-ProvAgeThreshold)*ProvAgeClawRate), 0) + IF(OR(H15&gt;0, I15&gt;0), ProvPensionCredit, 0)) * ProvCreditRate) + MAX(0, (MAX(0, SUMPRODUCT(MAX(MIN(AE15,ProvBracketMax)-ProvBracketMin,0)*ProvBracketRate) - (ProvBasicPersonal + IF(A15&gt;=65, MAX(0, ProvAgeAmount - MAX(0, AE15-ProvAgeThreshold)*ProvAgeClawRate), 0) + IF(OR(H15&gt;0, I15&gt;0), ProvPensionCredit, 0)) * ProvCreditRate)-SurtaxThreshold1)*SurtaxRate1) + MAX(0, (MAX(0, SUMPRODUCT(MAX(MIN(AE15,ProvBracketMax)-ProvBracketMin,0)*ProvBracketRate) - (ProvBasicPersonal + IF(A15&gt;=65, MAX(0, ProvAgeAmount - MAX(0, AE15-ProvAgeThreshold)*ProvAgeClawRate), 0) + IF(OR(H15&gt;0, I15&gt;0), ProvPensionCredit, 0)) * ProvCreditRate)-SurtaxThreshold2)*SurtaxRate2)</f>
      </c>
      <c r="AH15" s="14">
        <f>AF15+AG15</f>
      </c>
      <c r="AI15" s="14">
        <f>E15+F15+AC15+H15+Z15+T15+V15+AA15-AH15</f>
      </c>
      <c r="AJ15" s="14">
        <f>AI15-M15-N15-O15</f>
      </c>
      <c r="AK15" s="14">
        <f>IF(AJ15&gt;0, MIN(AJ15, Assumptions_TfsaAnnualLimit), 0)</f>
      </c>
      <c r="AL15" s="14">
        <f>MAX(0,AL14-Z15)*(1+Assumptions_RealReturn)</f>
      </c>
      <c r="AM15" s="14">
        <f>MAX(0,AM14-T15+AK15)*(1+Assumptions_TfsaReturn)</f>
      </c>
      <c r="AN15" s="14">
        <f>MAX(0,AN14-V15+MAX(0,AJ15-AK15))*(1+Assumptions_NonRegReturn)</f>
      </c>
      <c r="AO15" s="14">
        <f>MAX(0,AO14-AA15)*(1+Assumptions_RealReturn)</f>
      </c>
      <c r="AP15" s="14">
        <f>IF(N15&gt;0, MAX(0, AP14*(1+Assumptions_MortgageRate)-N15), 0)</f>
      </c>
      <c r="AQ15" s="14">
        <f>AL15+AM15+AN15+AO15</f>
      </c>
      <c r="AR15" s="14">
        <f>AQ15+Assumptions_RealEstateValue-AP15</f>
      </c>
      <c r="AS15" s="14">
        <f>MAX(0,AS14*MAX(0,AN14-V15)/IF(AN14&gt;0,AN14,1))+MAX(0,AJ15-AK15)</f>
      </c>
    </row>
    <row r="16" spans="1:45" x14ac:dyDescent="0.25">
      <c r="A16" s="15">
        <f>A15+1</f>
      </c>
      <c r="B16" s="15">
        <f>2026+(A16-Assumptions_CurrentAge)</f>
      </c>
      <c r="C16" s="15">
        <f>IF(A16&gt;=Assumptions_RetirementAge,1,0)</f>
      </c>
      <c r="D16" s="17">
        <f>(1+Assumptions_Inflation)^(A16-Assumptions_CurrentAge)</f>
      </c>
      <c r="E16" s="14">
        <f>IF(AND(C16=0,Assumptions_StillWorking=1),Assumptions_EmploymentIncome*D16,0)</f>
      </c>
      <c r="F16" s="14">
        <f>IF(A16&gt;=Assumptions_CppStartAge, Assumptions_CppMonthly*12*IF((Assumptions_CppStartAge-65)*12&lt;0, 1+(Assumptions_CppStartAge-65)*12*CppEarlyReduction, 1+(Assumptions_CppStartAge-65)*12*CppLateIncrease)*D16, 0)</f>
      </c>
      <c r="G16" s="14">
        <f>IF(A16&gt;=Assumptions_OasStartAge, Assumptions_OasMonthly*12*(1+MAX(0, MIN(Assumptions_OasStartAge, OasMaxDeferAge)-OasStdStartAge)*12*OasDeferralBonus)*D16, 0)</f>
      </c>
      <c r="H16" s="14">
        <f>IF(AND(Assumptions_PensionType="db",A16&gt;=Assumptions_DbPensionStartAge), IF(Assumptions_DbPensionIndexed=1, Assumptions_DbPensionAnnual*D16, Assumptions_DbPensionAnnual), 0)</f>
      </c>
      <c r="I16" s="14">
        <f>IF(AND(A16&gt;=72,AL15&gt;0), VLOOKUP(MIN(A16,95),RrifRates,2,TRUE)*AL15, 0)</f>
      </c>
      <c r="J16" s="14">
        <f>IF(AND(Assumptions_MeltdownEnabled=1,A16&gt;=Assumptions_MeltdownStartAge,A16&lt;Assumptions_MeltdownTargetAge), MIN(Assumptions_MeltdownAnnual,AL15), 0)</f>
      </c>
      <c r="K16" s="14">
        <f>MIN(MAX(I16,J16),AL15)</f>
      </c>
      <c r="L16" s="14">
        <f>E16+F16+G16+H16+K16</f>
      </c>
      <c r="M16" s="14">
        <f>IF(C16=1, Assumptions_MonthlyExpenses*12*(1-Assumptions_ExpenseReduction), Assumptions_MonthlyExpenses*12)*D16</f>
      </c>
      <c r="N16" s="14">
        <f>IF(AND(AP15&gt;0, (A16-Assumptions_CurrentAge)&lt;Assumptions_MortgageYears), IF(Assumptions_MortgageRate=0, AP15/MAX(1,Assumptions_MortgageYears-(A16-Assumptions_CurrentAge)), AP15*Assumptions_MortgageRate*(1+Assumptions_MortgageRate)^MAX(1,Assumptions_MortgageYears-(A16-Assumptions_CurrentAge))/((1+Assumptions_MortgageRate)^MAX(1,Assumptions_MortgageYears-(A16-Assumptions_CurrentAge))-1)), 0)</f>
      </c>
      <c r="O16" s="14">
        <f>IF(AND(Assumptions_ConsumerDebt&gt;0, A16&lt;Assumptions_ConsumerPayoffAge), IF(Assumptions_ConsumerDebtRate=0, Assumptions_ConsumerDebt/MAX(1,Assumptions_ConsumerPayoffAge-Assumptions_CurrentAge-(A16-Assumptions_CurrentAge)), Assumptions_ConsumerDebt*Assumptions_ConsumerDebtRate*(1+Assumptions_ConsumerDebtRate)^MAX(1,Assumptions_ConsumerPayoffAge-Assumptions_CurrentAge-(A16-Assumptions_CurrentAge))/((1+Assumptions_ConsumerDebtRate)^MAX(1,Assumptions_ConsumerPayoffAge-Assumptions_CurrentAge-(A16-Assumptions_CurrentAge))-1)), 0)+IF(AND(Assumptions_OtherDebt&gt;0, A16&lt;Assumptions_OtherPayoffAge), IF(Assumptions_OtherDebtRate=0, Assumptions_OtherDebt/MAX(1,Assumptions_OtherPayoffAge-Assumptions_CurrentAge-(A16-Assumptions_CurrentAge)), Assumptions_OtherDebt*Assumptions_OtherDebtRate*(1+Assumptions_OtherDebtRate)^MAX(1,Assumptions_OtherPayoffAge-Assumptions_CurrentAge-(A16-Assumptions_CurrentAge))/((1+Assumptions_OtherDebtRate)^MAX(1,Assumptions_OtherPayoffAge-Assumptions_CurrentAge-(A16-Assumptions_CurrentAge))-1)), 0)</f>
      </c>
      <c r="P16" s="14">
        <f>M16+N16+O16</f>
      </c>
      <c r="Q16" s="14">
        <f>IF(L16&lt;=0, 0, MAX(0, SUMPRODUCT(MAX(MIN(L16,FedBracketMax)-FedBracketMin,0)*FedBracketRate) - (FedBasicPersonal + IF(A16&gt;=65, MAX(0, FedAgeAmount - MAX(0, L16-FedAgeThreshold)*FedAgeClawRate), 0) + IF(OR(H16&gt;0, I16&gt;0), FedPensionCredit, 0)) * FedCreditRate))</f>
      </c>
      <c r="R16" s="14">
        <f>L16-Q16</f>
      </c>
      <c r="S16" s="14">
        <f>MAX(0,P16-R16)</f>
      </c>
      <c r="T16" s="14">
        <f>MIN(S16,AM15)</f>
      </c>
      <c r="U16" s="14">
        <f>MAX(0,S16-T16)</f>
      </c>
      <c r="V16" s="14">
        <f>MIN(U16,AN15)</f>
      </c>
      <c r="W16" s="14">
        <f>MAX(0,U16-V16)</f>
      </c>
      <c r="X16" s="16">
        <f>INDEX(FedBracketRate,MATCH(L16,FedBracketMin,1))+INDEX(ProvBracketRate,MATCH(L16,ProvBracketMin,1))</f>
      </c>
      <c r="Y16" s="14">
        <f>IF(W16&gt;0, MIN(IF(X16&gt;=1, W16, W16/(1-X16)), MAX(0,AL15-K16)), 0)</f>
      </c>
      <c r="Z16" s="14">
        <f>K16+Y16</f>
      </c>
      <c r="AA16" s="14">
        <f>IF(W16&gt;Y16*(1-X16), MIN(MAX(0,W16-Y16*(1-X16)),AO15), 0)</f>
      </c>
      <c r="AB16" s="14">
        <f>MIN(Assumptions_OasMaxAnnual, MAX(0,(E16+F16+G16+H16+Z16-Assumptions_OasClawbackThresh)*Assumptions_OasClawbackRate))</f>
      </c>
      <c r="AC16" s="14">
        <f>MAX(0,G16-AB16)</f>
      </c>
      <c r="AD16" s="14">
        <f>V16*IF(AN15&gt;0, MAX(0,1-AS15/AN15), 0)*Assumptions_CapGainsRate</f>
      </c>
      <c r="AE16" s="14">
        <f>E16+F16+AC16+H16+Z16+AD16</f>
      </c>
      <c r="AF16" s="14">
        <f>MAX(0, SUMPRODUCT(MAX(MIN(AE16,FedBracketMax)-FedBracketMin,0)*FedBracketRate) - (FedBasicPersonal + IF(A16&gt;=65, MAX(0, FedAgeAmount - MAX(0, AE16-FedAgeThreshold)*FedAgeClawRate), 0) + IF(OR(H16&gt;0, I16&gt;0), FedPensionCredit, 0)) * FedCreditRate)</f>
      </c>
      <c r="AG16" s="14">
        <f>MAX(0, SUMPRODUCT(MAX(MIN(AE16,ProvBracketMax)-ProvBracketMin,0)*ProvBracketRate) - (ProvBasicPersonal + IF(A16&gt;=65, MAX(0, ProvAgeAmount - MAX(0, AE16-ProvAgeThreshold)*ProvAgeClawRate), 0) + IF(OR(H16&gt;0, I16&gt;0), ProvPensionCredit, 0)) * ProvCreditRate) + MAX(0, (MAX(0, SUMPRODUCT(MAX(MIN(AE16,ProvBracketMax)-ProvBracketMin,0)*ProvBracketRate) - (ProvBasicPersonal + IF(A16&gt;=65, MAX(0, ProvAgeAmount - MAX(0, AE16-ProvAgeThreshold)*ProvAgeClawRate), 0) + IF(OR(H16&gt;0, I16&gt;0), ProvPensionCredit, 0)) * ProvCreditRate)-SurtaxThreshold1)*SurtaxRate1) + MAX(0, (MAX(0, SUMPRODUCT(MAX(MIN(AE16,ProvBracketMax)-ProvBracketMin,0)*ProvBracketRate) - (ProvBasicPersonal + IF(A16&gt;=65, MAX(0, ProvAgeAmount - MAX(0, AE16-ProvAgeThreshold)*ProvAgeClawRate), 0) + IF(OR(H16&gt;0, I16&gt;0), ProvPensionCredit, 0)) * ProvCreditRate)-SurtaxThreshold2)*SurtaxRate2)</f>
      </c>
      <c r="AH16" s="14">
        <f>AF16+AG16</f>
      </c>
      <c r="AI16" s="14">
        <f>E16+F16+AC16+H16+Z16+T16+V16+AA16-AH16</f>
      </c>
      <c r="AJ16" s="14">
        <f>AI16-M16-N16-O16</f>
      </c>
      <c r="AK16" s="14">
        <f>IF(AJ16&gt;0, MIN(AJ16, Assumptions_TfsaAnnualLimit), 0)</f>
      </c>
      <c r="AL16" s="14">
        <f>MAX(0,AL15-Z16)*(1+Assumptions_RealReturn)</f>
      </c>
      <c r="AM16" s="14">
        <f>MAX(0,AM15-T16+AK16)*(1+Assumptions_TfsaReturn)</f>
      </c>
      <c r="AN16" s="14">
        <f>MAX(0,AN15-V16+MAX(0,AJ16-AK16))*(1+Assumptions_NonRegReturn)</f>
      </c>
      <c r="AO16" s="14">
        <f>MAX(0,AO15-AA16)*(1+Assumptions_RealReturn)</f>
      </c>
      <c r="AP16" s="14">
        <f>IF(N16&gt;0, MAX(0, AP15*(1+Assumptions_MortgageRate)-N16), 0)</f>
      </c>
      <c r="AQ16" s="14">
        <f>AL16+AM16+AN16+AO16</f>
      </c>
      <c r="AR16" s="14">
        <f>AQ16+Assumptions_RealEstateValue-AP16</f>
      </c>
      <c r="AS16" s="14">
        <f>MAX(0,AS15*MAX(0,AN15-V16)/IF(AN15&gt;0,AN15,1))+MAX(0,AJ16-AK16)</f>
      </c>
    </row>
    <row r="17" spans="1:45" x14ac:dyDescent="0.25">
      <c r="A17" s="15">
        <f>A16+1</f>
      </c>
      <c r="B17" s="15">
        <f>2026+(A17-Assumptions_CurrentAge)</f>
      </c>
      <c r="C17" s="15">
        <f>IF(A17&gt;=Assumptions_RetirementAge,1,0)</f>
      </c>
      <c r="D17" s="17">
        <f>(1+Assumptions_Inflation)^(A17-Assumptions_CurrentAge)</f>
      </c>
      <c r="E17" s="14">
        <f>IF(AND(C17=0,Assumptions_StillWorking=1),Assumptions_EmploymentIncome*D17,0)</f>
      </c>
      <c r="F17" s="14">
        <f>IF(A17&gt;=Assumptions_CppStartAge, Assumptions_CppMonthly*12*IF((Assumptions_CppStartAge-65)*12&lt;0, 1+(Assumptions_CppStartAge-65)*12*CppEarlyReduction, 1+(Assumptions_CppStartAge-65)*12*CppLateIncrease)*D17, 0)</f>
      </c>
      <c r="G17" s="14">
        <f>IF(A17&gt;=Assumptions_OasStartAge, Assumptions_OasMonthly*12*(1+MAX(0, MIN(Assumptions_OasStartAge, OasMaxDeferAge)-OasStdStartAge)*12*OasDeferralBonus)*D17, 0)</f>
      </c>
      <c r="H17" s="14">
        <f>IF(AND(Assumptions_PensionType="db",A17&gt;=Assumptions_DbPensionStartAge), IF(Assumptions_DbPensionIndexed=1, Assumptions_DbPensionAnnual*D17, Assumptions_DbPensionAnnual), 0)</f>
      </c>
      <c r="I17" s="14">
        <f>IF(AND(A17&gt;=72,AL16&gt;0), VLOOKUP(MIN(A17,95),RrifRates,2,TRUE)*AL16, 0)</f>
      </c>
      <c r="J17" s="14">
        <f>IF(AND(Assumptions_MeltdownEnabled=1,A17&gt;=Assumptions_MeltdownStartAge,A17&lt;Assumptions_MeltdownTargetAge), MIN(Assumptions_MeltdownAnnual,AL16), 0)</f>
      </c>
      <c r="K17" s="14">
        <f>MIN(MAX(I17,J17),AL16)</f>
      </c>
      <c r="L17" s="14">
        <f>E17+F17+G17+H17+K17</f>
      </c>
      <c r="M17" s="14">
        <f>IF(C17=1, Assumptions_MonthlyExpenses*12*(1-Assumptions_ExpenseReduction), Assumptions_MonthlyExpenses*12)*D17</f>
      </c>
      <c r="N17" s="14">
        <f>IF(AND(AP16&gt;0, (A17-Assumptions_CurrentAge)&lt;Assumptions_MortgageYears), IF(Assumptions_MortgageRate=0, AP16/MAX(1,Assumptions_MortgageYears-(A17-Assumptions_CurrentAge)), AP16*Assumptions_MortgageRate*(1+Assumptions_MortgageRate)^MAX(1,Assumptions_MortgageYears-(A17-Assumptions_CurrentAge))/((1+Assumptions_MortgageRate)^MAX(1,Assumptions_MortgageYears-(A17-Assumptions_CurrentAge))-1)), 0)</f>
      </c>
      <c r="O17" s="14">
        <f>IF(AND(Assumptions_ConsumerDebt&gt;0, A17&lt;Assumptions_ConsumerPayoffAge), IF(Assumptions_ConsumerDebtRate=0, Assumptions_ConsumerDebt/MAX(1,Assumptions_ConsumerPayoffAge-Assumptions_CurrentAge-(A17-Assumptions_CurrentAge)), Assumptions_ConsumerDebt*Assumptions_ConsumerDebtRate*(1+Assumptions_ConsumerDebtRate)^MAX(1,Assumptions_ConsumerPayoffAge-Assumptions_CurrentAge-(A17-Assumptions_CurrentAge))/((1+Assumptions_ConsumerDebtRate)^MAX(1,Assumptions_ConsumerPayoffAge-Assumptions_CurrentAge-(A17-Assumptions_CurrentAge))-1)), 0)+IF(AND(Assumptions_OtherDebt&gt;0, A17&lt;Assumptions_OtherPayoffAge), IF(Assumptions_OtherDebtRate=0, Assumptions_OtherDebt/MAX(1,Assumptions_OtherPayoffAge-Assumptions_CurrentAge-(A17-Assumptions_CurrentAge)), Assumptions_OtherDebt*Assumptions_OtherDebtRate*(1+Assumptions_OtherDebtRate)^MAX(1,Assumptions_OtherPayoffAge-Assumptions_CurrentAge-(A17-Assumptions_CurrentAge))/((1+Assumptions_OtherDebtRate)^MAX(1,Assumptions_OtherPayoffAge-Assumptions_CurrentAge-(A17-Assumptions_CurrentAge))-1)), 0)</f>
      </c>
      <c r="P17" s="14">
        <f>M17+N17+O17</f>
      </c>
      <c r="Q17" s="14">
        <f>IF(L17&lt;=0, 0, MAX(0, SUMPRODUCT(MAX(MIN(L17,FedBracketMax)-FedBracketMin,0)*FedBracketRate) - (FedBasicPersonal + IF(A17&gt;=65, MAX(0, FedAgeAmount - MAX(0, L17-FedAgeThreshold)*FedAgeClawRate), 0) + IF(OR(H17&gt;0, I17&gt;0), FedPensionCredit, 0)) * FedCreditRate))</f>
      </c>
      <c r="R17" s="14">
        <f>L17-Q17</f>
      </c>
      <c r="S17" s="14">
        <f>MAX(0,P17-R17)</f>
      </c>
      <c r="T17" s="14">
        <f>MIN(S17,AM16)</f>
      </c>
      <c r="U17" s="14">
        <f>MAX(0,S17-T17)</f>
      </c>
      <c r="V17" s="14">
        <f>MIN(U17,AN16)</f>
      </c>
      <c r="W17" s="14">
        <f>MAX(0,U17-V17)</f>
      </c>
      <c r="X17" s="16">
        <f>INDEX(FedBracketRate,MATCH(L17,FedBracketMin,1))+INDEX(ProvBracketRate,MATCH(L17,ProvBracketMin,1))</f>
      </c>
      <c r="Y17" s="14">
        <f>IF(W17&gt;0, MIN(IF(X17&gt;=1, W17, W17/(1-X17)), MAX(0,AL16-K17)), 0)</f>
      </c>
      <c r="Z17" s="14">
        <f>K17+Y17</f>
      </c>
      <c r="AA17" s="14">
        <f>IF(W17&gt;Y17*(1-X17), MIN(MAX(0,W17-Y17*(1-X17)),AO16), 0)</f>
      </c>
      <c r="AB17" s="14">
        <f>MIN(Assumptions_OasMaxAnnual, MAX(0,(E17+F17+G17+H17+Z17-Assumptions_OasClawbackThresh)*Assumptions_OasClawbackRate))</f>
      </c>
      <c r="AC17" s="14">
        <f>MAX(0,G17-AB17)</f>
      </c>
      <c r="AD17" s="14">
        <f>V17*IF(AN16&gt;0, MAX(0,1-AS16/AN16), 0)*Assumptions_CapGainsRate</f>
      </c>
      <c r="AE17" s="14">
        <f>E17+F17+AC17+H17+Z17+AD17</f>
      </c>
      <c r="AF17" s="14">
        <f>MAX(0, SUMPRODUCT(MAX(MIN(AE17,FedBracketMax)-FedBracketMin,0)*FedBracketRate) - (FedBasicPersonal + IF(A17&gt;=65, MAX(0, FedAgeAmount - MAX(0, AE17-FedAgeThreshold)*FedAgeClawRate), 0) + IF(OR(H17&gt;0, I17&gt;0), FedPensionCredit, 0)) * FedCreditRate)</f>
      </c>
      <c r="AG17" s="14">
        <f>MAX(0, SUMPRODUCT(MAX(MIN(AE17,ProvBracketMax)-ProvBracketMin,0)*ProvBracketRate) - (ProvBasicPersonal + IF(A17&gt;=65, MAX(0, ProvAgeAmount - MAX(0, AE17-ProvAgeThreshold)*ProvAgeClawRate), 0) + IF(OR(H17&gt;0, I17&gt;0), ProvPensionCredit, 0)) * ProvCreditRate) + MAX(0, (MAX(0, SUMPRODUCT(MAX(MIN(AE17,ProvBracketMax)-ProvBracketMin,0)*ProvBracketRate) - (ProvBasicPersonal + IF(A17&gt;=65, MAX(0, ProvAgeAmount - MAX(0, AE17-ProvAgeThreshold)*ProvAgeClawRate), 0) + IF(OR(H17&gt;0, I17&gt;0), ProvPensionCredit, 0)) * ProvCreditRate)-SurtaxThreshold1)*SurtaxRate1) + MAX(0, (MAX(0, SUMPRODUCT(MAX(MIN(AE17,ProvBracketMax)-ProvBracketMin,0)*ProvBracketRate) - (ProvBasicPersonal + IF(A17&gt;=65, MAX(0, ProvAgeAmount - MAX(0, AE17-ProvAgeThreshold)*ProvAgeClawRate), 0) + IF(OR(H17&gt;0, I17&gt;0), ProvPensionCredit, 0)) * ProvCreditRate)-SurtaxThreshold2)*SurtaxRate2)</f>
      </c>
      <c r="AH17" s="14">
        <f>AF17+AG17</f>
      </c>
      <c r="AI17" s="14">
        <f>E17+F17+AC17+H17+Z17+T17+V17+AA17-AH17</f>
      </c>
      <c r="AJ17" s="14">
        <f>AI17-M17-N17-O17</f>
      </c>
      <c r="AK17" s="14">
        <f>IF(AJ17&gt;0, MIN(AJ17, Assumptions_TfsaAnnualLimit), 0)</f>
      </c>
      <c r="AL17" s="14">
        <f>MAX(0,AL16-Z17)*(1+Assumptions_RealReturn)</f>
      </c>
      <c r="AM17" s="14">
        <f>MAX(0,AM16-T17+AK17)*(1+Assumptions_TfsaReturn)</f>
      </c>
      <c r="AN17" s="14">
        <f>MAX(0,AN16-V17+MAX(0,AJ17-AK17))*(1+Assumptions_NonRegReturn)</f>
      </c>
      <c r="AO17" s="14">
        <f>MAX(0,AO16-AA17)*(1+Assumptions_RealReturn)</f>
      </c>
      <c r="AP17" s="14">
        <f>IF(N17&gt;0, MAX(0, AP16*(1+Assumptions_MortgageRate)-N17), 0)</f>
      </c>
      <c r="AQ17" s="14">
        <f>AL17+AM17+AN17+AO17</f>
      </c>
      <c r="AR17" s="14">
        <f>AQ17+Assumptions_RealEstateValue-AP17</f>
      </c>
      <c r="AS17" s="14">
        <f>MAX(0,AS16*MAX(0,AN16-V17)/IF(AN16&gt;0,AN16,1))+MAX(0,AJ17-AK17)</f>
      </c>
    </row>
    <row r="18" spans="1:45" x14ac:dyDescent="0.25">
      <c r="A18" s="15">
        <f>A17+1</f>
      </c>
      <c r="B18" s="15">
        <f>2026+(A18-Assumptions_CurrentAge)</f>
      </c>
      <c r="C18" s="15">
        <f>IF(A18&gt;=Assumptions_RetirementAge,1,0)</f>
      </c>
      <c r="D18" s="17">
        <f>(1+Assumptions_Inflation)^(A18-Assumptions_CurrentAge)</f>
      </c>
      <c r="E18" s="14">
        <f>IF(AND(C18=0,Assumptions_StillWorking=1),Assumptions_EmploymentIncome*D18,0)</f>
      </c>
      <c r="F18" s="14">
        <f>IF(A18&gt;=Assumptions_CppStartAge, Assumptions_CppMonthly*12*IF((Assumptions_CppStartAge-65)*12&lt;0, 1+(Assumptions_CppStartAge-65)*12*CppEarlyReduction, 1+(Assumptions_CppStartAge-65)*12*CppLateIncrease)*D18, 0)</f>
      </c>
      <c r="G18" s="14">
        <f>IF(A18&gt;=Assumptions_OasStartAge, Assumptions_OasMonthly*12*(1+MAX(0, MIN(Assumptions_OasStartAge, OasMaxDeferAge)-OasStdStartAge)*12*OasDeferralBonus)*D18, 0)</f>
      </c>
      <c r="H18" s="14">
        <f>IF(AND(Assumptions_PensionType="db",A18&gt;=Assumptions_DbPensionStartAge), IF(Assumptions_DbPensionIndexed=1, Assumptions_DbPensionAnnual*D18, Assumptions_DbPensionAnnual), 0)</f>
      </c>
      <c r="I18" s="14">
        <f>IF(AND(A18&gt;=72,AL17&gt;0), VLOOKUP(MIN(A18,95),RrifRates,2,TRUE)*AL17, 0)</f>
      </c>
      <c r="J18" s="14">
        <f>IF(AND(Assumptions_MeltdownEnabled=1,A18&gt;=Assumptions_MeltdownStartAge,A18&lt;Assumptions_MeltdownTargetAge), MIN(Assumptions_MeltdownAnnual,AL17), 0)</f>
      </c>
      <c r="K18" s="14">
        <f>MIN(MAX(I18,J18),AL17)</f>
      </c>
      <c r="L18" s="14">
        <f>E18+F18+G18+H18+K18</f>
      </c>
      <c r="M18" s="14">
        <f>IF(C18=1, Assumptions_MonthlyExpenses*12*(1-Assumptions_ExpenseReduction), Assumptions_MonthlyExpenses*12)*D18</f>
      </c>
      <c r="N18" s="14">
        <f>IF(AND(AP17&gt;0, (A18-Assumptions_CurrentAge)&lt;Assumptions_MortgageYears), IF(Assumptions_MortgageRate=0, AP17/MAX(1,Assumptions_MortgageYears-(A18-Assumptions_CurrentAge)), AP17*Assumptions_MortgageRate*(1+Assumptions_MortgageRate)^MAX(1,Assumptions_MortgageYears-(A18-Assumptions_CurrentAge))/((1+Assumptions_MortgageRate)^MAX(1,Assumptions_MortgageYears-(A18-Assumptions_CurrentAge))-1)), 0)</f>
      </c>
      <c r="O18" s="14">
        <f>IF(AND(Assumptions_ConsumerDebt&gt;0, A18&lt;Assumptions_ConsumerPayoffAge), IF(Assumptions_ConsumerDebtRate=0, Assumptions_ConsumerDebt/MAX(1,Assumptions_ConsumerPayoffAge-Assumptions_CurrentAge-(A18-Assumptions_CurrentAge)), Assumptions_ConsumerDebt*Assumptions_ConsumerDebtRate*(1+Assumptions_ConsumerDebtRate)^MAX(1,Assumptions_ConsumerPayoffAge-Assumptions_CurrentAge-(A18-Assumptions_CurrentAge))/((1+Assumptions_ConsumerDebtRate)^MAX(1,Assumptions_ConsumerPayoffAge-Assumptions_CurrentAge-(A18-Assumptions_CurrentAge))-1)), 0)+IF(AND(Assumptions_OtherDebt&gt;0, A18&lt;Assumptions_OtherPayoffAge), IF(Assumptions_OtherDebtRate=0, Assumptions_OtherDebt/MAX(1,Assumptions_OtherPayoffAge-Assumptions_CurrentAge-(A18-Assumptions_CurrentAge)), Assumptions_OtherDebt*Assumptions_OtherDebtRate*(1+Assumptions_OtherDebtRate)^MAX(1,Assumptions_OtherPayoffAge-Assumptions_CurrentAge-(A18-Assumptions_CurrentAge))/((1+Assumptions_OtherDebtRate)^MAX(1,Assumptions_OtherPayoffAge-Assumptions_CurrentAge-(A18-Assumptions_CurrentAge))-1)), 0)</f>
      </c>
      <c r="P18" s="14">
        <f>M18+N18+O18</f>
      </c>
      <c r="Q18" s="14">
        <f>IF(L18&lt;=0, 0, MAX(0, SUMPRODUCT(MAX(MIN(L18,FedBracketMax)-FedBracketMin,0)*FedBracketRate) - (FedBasicPersonal + IF(A18&gt;=65, MAX(0, FedAgeAmount - MAX(0, L18-FedAgeThreshold)*FedAgeClawRate), 0) + IF(OR(H18&gt;0, I18&gt;0), FedPensionCredit, 0)) * FedCreditRate))</f>
      </c>
      <c r="R18" s="14">
        <f>L18-Q18</f>
      </c>
      <c r="S18" s="14">
        <f>MAX(0,P18-R18)</f>
      </c>
      <c r="T18" s="14">
        <f>MIN(S18,AM17)</f>
      </c>
      <c r="U18" s="14">
        <f>MAX(0,S18-T18)</f>
      </c>
      <c r="V18" s="14">
        <f>MIN(U18,AN17)</f>
      </c>
      <c r="W18" s="14">
        <f>MAX(0,U18-V18)</f>
      </c>
      <c r="X18" s="16">
        <f>INDEX(FedBracketRate,MATCH(L18,FedBracketMin,1))+INDEX(ProvBracketRate,MATCH(L18,ProvBracketMin,1))</f>
      </c>
      <c r="Y18" s="14">
        <f>IF(W18&gt;0, MIN(IF(X18&gt;=1, W18, W18/(1-X18)), MAX(0,AL17-K18)), 0)</f>
      </c>
      <c r="Z18" s="14">
        <f>K18+Y18</f>
      </c>
      <c r="AA18" s="14">
        <f>IF(W18&gt;Y18*(1-X18), MIN(MAX(0,W18-Y18*(1-X18)),AO17), 0)</f>
      </c>
      <c r="AB18" s="14">
        <f>MIN(Assumptions_OasMaxAnnual, MAX(0,(E18+F18+G18+H18+Z18-Assumptions_OasClawbackThresh)*Assumptions_OasClawbackRate))</f>
      </c>
      <c r="AC18" s="14">
        <f>MAX(0,G18-AB18)</f>
      </c>
      <c r="AD18" s="14">
        <f>V18*IF(AN17&gt;0, MAX(0,1-AS17/AN17), 0)*Assumptions_CapGainsRate</f>
      </c>
      <c r="AE18" s="14">
        <f>E18+F18+AC18+H18+Z18+AD18</f>
      </c>
      <c r="AF18" s="14">
        <f>MAX(0, SUMPRODUCT(MAX(MIN(AE18,FedBracketMax)-FedBracketMin,0)*FedBracketRate) - (FedBasicPersonal + IF(A18&gt;=65, MAX(0, FedAgeAmount - MAX(0, AE18-FedAgeThreshold)*FedAgeClawRate), 0) + IF(OR(H18&gt;0, I18&gt;0), FedPensionCredit, 0)) * FedCreditRate)</f>
      </c>
      <c r="AG18" s="14">
        <f>MAX(0, SUMPRODUCT(MAX(MIN(AE18,ProvBracketMax)-ProvBracketMin,0)*ProvBracketRate) - (ProvBasicPersonal + IF(A18&gt;=65, MAX(0, ProvAgeAmount - MAX(0, AE18-ProvAgeThreshold)*ProvAgeClawRate), 0) + IF(OR(H18&gt;0, I18&gt;0), ProvPensionCredit, 0)) * ProvCreditRate) + MAX(0, (MAX(0, SUMPRODUCT(MAX(MIN(AE18,ProvBracketMax)-ProvBracketMin,0)*ProvBracketRate) - (ProvBasicPersonal + IF(A18&gt;=65, MAX(0, ProvAgeAmount - MAX(0, AE18-ProvAgeThreshold)*ProvAgeClawRate), 0) + IF(OR(H18&gt;0, I18&gt;0), ProvPensionCredit, 0)) * ProvCreditRate)-SurtaxThreshold1)*SurtaxRate1) + MAX(0, (MAX(0, SUMPRODUCT(MAX(MIN(AE18,ProvBracketMax)-ProvBracketMin,0)*ProvBracketRate) - (ProvBasicPersonal + IF(A18&gt;=65, MAX(0, ProvAgeAmount - MAX(0, AE18-ProvAgeThreshold)*ProvAgeClawRate), 0) + IF(OR(H18&gt;0, I18&gt;0), ProvPensionCredit, 0)) * ProvCreditRate)-SurtaxThreshold2)*SurtaxRate2)</f>
      </c>
      <c r="AH18" s="14">
        <f>AF18+AG18</f>
      </c>
      <c r="AI18" s="14">
        <f>E18+F18+AC18+H18+Z18+T18+V18+AA18-AH18</f>
      </c>
      <c r="AJ18" s="14">
        <f>AI18-M18-N18-O18</f>
      </c>
      <c r="AK18" s="14">
        <f>IF(AJ18&gt;0, MIN(AJ18, Assumptions_TfsaAnnualLimit), 0)</f>
      </c>
      <c r="AL18" s="14">
        <f>MAX(0,AL17-Z18)*(1+Assumptions_RealReturn)</f>
      </c>
      <c r="AM18" s="14">
        <f>MAX(0,AM17-T18+AK18)*(1+Assumptions_TfsaReturn)</f>
      </c>
      <c r="AN18" s="14">
        <f>MAX(0,AN17-V18+MAX(0,AJ18-AK18))*(1+Assumptions_NonRegReturn)</f>
      </c>
      <c r="AO18" s="14">
        <f>MAX(0,AO17-AA18)*(1+Assumptions_RealReturn)</f>
      </c>
      <c r="AP18" s="14">
        <f>IF(N18&gt;0, MAX(0, AP17*(1+Assumptions_MortgageRate)-N18), 0)</f>
      </c>
      <c r="AQ18" s="14">
        <f>AL18+AM18+AN18+AO18</f>
      </c>
      <c r="AR18" s="14">
        <f>AQ18+Assumptions_RealEstateValue-AP18</f>
      </c>
      <c r="AS18" s="14">
        <f>MAX(0,AS17*MAX(0,AN17-V18)/IF(AN17&gt;0,AN17,1))+MAX(0,AJ18-AK18)</f>
      </c>
    </row>
    <row r="19" spans="1:45" x14ac:dyDescent="0.25">
      <c r="A19" s="15">
        <f>A18+1</f>
      </c>
      <c r="B19" s="15">
        <f>2026+(A19-Assumptions_CurrentAge)</f>
      </c>
      <c r="C19" s="15">
        <f>IF(A19&gt;=Assumptions_RetirementAge,1,0)</f>
      </c>
      <c r="D19" s="17">
        <f>(1+Assumptions_Inflation)^(A19-Assumptions_CurrentAge)</f>
      </c>
      <c r="E19" s="14">
        <f>IF(AND(C19=0,Assumptions_StillWorking=1),Assumptions_EmploymentIncome*D19,0)</f>
      </c>
      <c r="F19" s="14">
        <f>IF(A19&gt;=Assumptions_CppStartAge, Assumptions_CppMonthly*12*IF((Assumptions_CppStartAge-65)*12&lt;0, 1+(Assumptions_CppStartAge-65)*12*CppEarlyReduction, 1+(Assumptions_CppStartAge-65)*12*CppLateIncrease)*D19, 0)</f>
      </c>
      <c r="G19" s="14">
        <f>IF(A19&gt;=Assumptions_OasStartAge, Assumptions_OasMonthly*12*(1+MAX(0, MIN(Assumptions_OasStartAge, OasMaxDeferAge)-OasStdStartAge)*12*OasDeferralBonus)*D19, 0)</f>
      </c>
      <c r="H19" s="14">
        <f>IF(AND(Assumptions_PensionType="db",A19&gt;=Assumptions_DbPensionStartAge), IF(Assumptions_DbPensionIndexed=1, Assumptions_DbPensionAnnual*D19, Assumptions_DbPensionAnnual), 0)</f>
      </c>
      <c r="I19" s="14">
        <f>IF(AND(A19&gt;=72,AL18&gt;0), VLOOKUP(MIN(A19,95),RrifRates,2,TRUE)*AL18, 0)</f>
      </c>
      <c r="J19" s="14">
        <f>IF(AND(Assumptions_MeltdownEnabled=1,A19&gt;=Assumptions_MeltdownStartAge,A19&lt;Assumptions_MeltdownTargetAge), MIN(Assumptions_MeltdownAnnual,AL18), 0)</f>
      </c>
      <c r="K19" s="14">
        <f>MIN(MAX(I19,J19),AL18)</f>
      </c>
      <c r="L19" s="14">
        <f>E19+F19+G19+H19+K19</f>
      </c>
      <c r="M19" s="14">
        <f>IF(C19=1, Assumptions_MonthlyExpenses*12*(1-Assumptions_ExpenseReduction), Assumptions_MonthlyExpenses*12)*D19</f>
      </c>
      <c r="N19" s="14">
        <f>IF(AND(AP18&gt;0, (A19-Assumptions_CurrentAge)&lt;Assumptions_MortgageYears), IF(Assumptions_MortgageRate=0, AP18/MAX(1,Assumptions_MortgageYears-(A19-Assumptions_CurrentAge)), AP18*Assumptions_MortgageRate*(1+Assumptions_MortgageRate)^MAX(1,Assumptions_MortgageYears-(A19-Assumptions_CurrentAge))/((1+Assumptions_MortgageRate)^MAX(1,Assumptions_MortgageYears-(A19-Assumptions_CurrentAge))-1)), 0)</f>
      </c>
      <c r="O19" s="14">
        <f>IF(AND(Assumptions_ConsumerDebt&gt;0, A19&lt;Assumptions_ConsumerPayoffAge), IF(Assumptions_ConsumerDebtRate=0, Assumptions_ConsumerDebt/MAX(1,Assumptions_ConsumerPayoffAge-Assumptions_CurrentAge-(A19-Assumptions_CurrentAge)), Assumptions_ConsumerDebt*Assumptions_ConsumerDebtRate*(1+Assumptions_ConsumerDebtRate)^MAX(1,Assumptions_ConsumerPayoffAge-Assumptions_CurrentAge-(A19-Assumptions_CurrentAge))/((1+Assumptions_ConsumerDebtRate)^MAX(1,Assumptions_ConsumerPayoffAge-Assumptions_CurrentAge-(A19-Assumptions_CurrentAge))-1)), 0)+IF(AND(Assumptions_OtherDebt&gt;0, A19&lt;Assumptions_OtherPayoffAge), IF(Assumptions_OtherDebtRate=0, Assumptions_OtherDebt/MAX(1,Assumptions_OtherPayoffAge-Assumptions_CurrentAge-(A19-Assumptions_CurrentAge)), Assumptions_OtherDebt*Assumptions_OtherDebtRate*(1+Assumptions_OtherDebtRate)^MAX(1,Assumptions_OtherPayoffAge-Assumptions_CurrentAge-(A19-Assumptions_CurrentAge))/((1+Assumptions_OtherDebtRate)^MAX(1,Assumptions_OtherPayoffAge-Assumptions_CurrentAge-(A19-Assumptions_CurrentAge))-1)), 0)</f>
      </c>
      <c r="P19" s="14">
        <f>M19+N19+O19</f>
      </c>
      <c r="Q19" s="14">
        <f>IF(L19&lt;=0, 0, MAX(0, SUMPRODUCT(MAX(MIN(L19,FedBracketMax)-FedBracketMin,0)*FedBracketRate) - (FedBasicPersonal + IF(A19&gt;=65, MAX(0, FedAgeAmount - MAX(0, L19-FedAgeThreshold)*FedAgeClawRate), 0) + IF(OR(H19&gt;0, I19&gt;0), FedPensionCredit, 0)) * FedCreditRate))</f>
      </c>
      <c r="R19" s="14">
        <f>L19-Q19</f>
      </c>
      <c r="S19" s="14">
        <f>MAX(0,P19-R19)</f>
      </c>
      <c r="T19" s="14">
        <f>MIN(S19,AM18)</f>
      </c>
      <c r="U19" s="14">
        <f>MAX(0,S19-T19)</f>
      </c>
      <c r="V19" s="14">
        <f>MIN(U19,AN18)</f>
      </c>
      <c r="W19" s="14">
        <f>MAX(0,U19-V19)</f>
      </c>
      <c r="X19" s="16">
        <f>INDEX(FedBracketRate,MATCH(L19,FedBracketMin,1))+INDEX(ProvBracketRate,MATCH(L19,ProvBracketMin,1))</f>
      </c>
      <c r="Y19" s="14">
        <f>IF(W19&gt;0, MIN(IF(X19&gt;=1, W19, W19/(1-X19)), MAX(0,AL18-K19)), 0)</f>
      </c>
      <c r="Z19" s="14">
        <f>K19+Y19</f>
      </c>
      <c r="AA19" s="14">
        <f>IF(W19&gt;Y19*(1-X19), MIN(MAX(0,W19-Y19*(1-X19)),AO18), 0)</f>
      </c>
      <c r="AB19" s="14">
        <f>MIN(Assumptions_OasMaxAnnual, MAX(0,(E19+F19+G19+H19+Z19-Assumptions_OasClawbackThresh)*Assumptions_OasClawbackRate))</f>
      </c>
      <c r="AC19" s="14">
        <f>MAX(0,G19-AB19)</f>
      </c>
      <c r="AD19" s="14">
        <f>V19*IF(AN18&gt;0, MAX(0,1-AS18/AN18), 0)*Assumptions_CapGainsRate</f>
      </c>
      <c r="AE19" s="14">
        <f>E19+F19+AC19+H19+Z19+AD19</f>
      </c>
      <c r="AF19" s="14">
        <f>MAX(0, SUMPRODUCT(MAX(MIN(AE19,FedBracketMax)-FedBracketMin,0)*FedBracketRate) - (FedBasicPersonal + IF(A19&gt;=65, MAX(0, FedAgeAmount - MAX(0, AE19-FedAgeThreshold)*FedAgeClawRate), 0) + IF(OR(H19&gt;0, I19&gt;0), FedPensionCredit, 0)) * FedCreditRate)</f>
      </c>
      <c r="AG19" s="14">
        <f>MAX(0, SUMPRODUCT(MAX(MIN(AE19,ProvBracketMax)-ProvBracketMin,0)*ProvBracketRate) - (ProvBasicPersonal + IF(A19&gt;=65, MAX(0, ProvAgeAmount - MAX(0, AE19-ProvAgeThreshold)*ProvAgeClawRate), 0) + IF(OR(H19&gt;0, I19&gt;0), ProvPensionCredit, 0)) * ProvCreditRate) + MAX(0, (MAX(0, SUMPRODUCT(MAX(MIN(AE19,ProvBracketMax)-ProvBracketMin,0)*ProvBracketRate) - (ProvBasicPersonal + IF(A19&gt;=65, MAX(0, ProvAgeAmount - MAX(0, AE19-ProvAgeThreshold)*ProvAgeClawRate), 0) + IF(OR(H19&gt;0, I19&gt;0), ProvPensionCredit, 0)) * ProvCreditRate)-SurtaxThreshold1)*SurtaxRate1) + MAX(0, (MAX(0, SUMPRODUCT(MAX(MIN(AE19,ProvBracketMax)-ProvBracketMin,0)*ProvBracketRate) - (ProvBasicPersonal + IF(A19&gt;=65, MAX(0, ProvAgeAmount - MAX(0, AE19-ProvAgeThreshold)*ProvAgeClawRate), 0) + IF(OR(H19&gt;0, I19&gt;0), ProvPensionCredit, 0)) * ProvCreditRate)-SurtaxThreshold2)*SurtaxRate2)</f>
      </c>
      <c r="AH19" s="14">
        <f>AF19+AG19</f>
      </c>
      <c r="AI19" s="14">
        <f>E19+F19+AC19+H19+Z19+T19+V19+AA19-AH19</f>
      </c>
      <c r="AJ19" s="14">
        <f>AI19-M19-N19-O19</f>
      </c>
      <c r="AK19" s="14">
        <f>IF(AJ19&gt;0, MIN(AJ19, Assumptions_TfsaAnnualLimit), 0)</f>
      </c>
      <c r="AL19" s="14">
        <f>MAX(0,AL18-Z19)*(1+Assumptions_RealReturn)</f>
      </c>
      <c r="AM19" s="14">
        <f>MAX(0,AM18-T19+AK19)*(1+Assumptions_TfsaReturn)</f>
      </c>
      <c r="AN19" s="14">
        <f>MAX(0,AN18-V19+MAX(0,AJ19-AK19))*(1+Assumptions_NonRegReturn)</f>
      </c>
      <c r="AO19" s="14">
        <f>MAX(0,AO18-AA19)*(1+Assumptions_RealReturn)</f>
      </c>
      <c r="AP19" s="14">
        <f>IF(N19&gt;0, MAX(0, AP18*(1+Assumptions_MortgageRate)-N19), 0)</f>
      </c>
      <c r="AQ19" s="14">
        <f>AL19+AM19+AN19+AO19</f>
      </c>
      <c r="AR19" s="14">
        <f>AQ19+Assumptions_RealEstateValue-AP19</f>
      </c>
      <c r="AS19" s="14">
        <f>MAX(0,AS18*MAX(0,AN18-V19)/IF(AN18&gt;0,AN18,1))+MAX(0,AJ19-AK19)</f>
      </c>
    </row>
    <row r="20" spans="1:45" x14ac:dyDescent="0.25">
      <c r="A20" s="15">
        <f>A19+1</f>
      </c>
      <c r="B20" s="15">
        <f>2026+(A20-Assumptions_CurrentAge)</f>
      </c>
      <c r="C20" s="15">
        <f>IF(A20&gt;=Assumptions_RetirementAge,1,0)</f>
      </c>
      <c r="D20" s="17">
        <f>(1+Assumptions_Inflation)^(A20-Assumptions_CurrentAge)</f>
      </c>
      <c r="E20" s="14">
        <f>IF(AND(C20=0,Assumptions_StillWorking=1),Assumptions_EmploymentIncome*D20,0)</f>
      </c>
      <c r="F20" s="14">
        <f>IF(A20&gt;=Assumptions_CppStartAge, Assumptions_CppMonthly*12*IF((Assumptions_CppStartAge-65)*12&lt;0, 1+(Assumptions_CppStartAge-65)*12*CppEarlyReduction, 1+(Assumptions_CppStartAge-65)*12*CppLateIncrease)*D20, 0)</f>
      </c>
      <c r="G20" s="14">
        <f>IF(A20&gt;=Assumptions_OasStartAge, Assumptions_OasMonthly*12*(1+MAX(0, MIN(Assumptions_OasStartAge, OasMaxDeferAge)-OasStdStartAge)*12*OasDeferralBonus)*D20, 0)</f>
      </c>
      <c r="H20" s="14">
        <f>IF(AND(Assumptions_PensionType="db",A20&gt;=Assumptions_DbPensionStartAge), IF(Assumptions_DbPensionIndexed=1, Assumptions_DbPensionAnnual*D20, Assumptions_DbPensionAnnual), 0)</f>
      </c>
      <c r="I20" s="14">
        <f>IF(AND(A20&gt;=72,AL19&gt;0), VLOOKUP(MIN(A20,95),RrifRates,2,TRUE)*AL19, 0)</f>
      </c>
      <c r="J20" s="14">
        <f>IF(AND(Assumptions_MeltdownEnabled=1,A20&gt;=Assumptions_MeltdownStartAge,A20&lt;Assumptions_MeltdownTargetAge), MIN(Assumptions_MeltdownAnnual,AL19), 0)</f>
      </c>
      <c r="K20" s="14">
        <f>MIN(MAX(I20,J20),AL19)</f>
      </c>
      <c r="L20" s="14">
        <f>E20+F20+G20+H20+K20</f>
      </c>
      <c r="M20" s="14">
        <f>IF(C20=1, Assumptions_MonthlyExpenses*12*(1-Assumptions_ExpenseReduction), Assumptions_MonthlyExpenses*12)*D20</f>
      </c>
      <c r="N20" s="14">
        <f>IF(AND(AP19&gt;0, (A20-Assumptions_CurrentAge)&lt;Assumptions_MortgageYears), IF(Assumptions_MortgageRate=0, AP19/MAX(1,Assumptions_MortgageYears-(A20-Assumptions_CurrentAge)), AP19*Assumptions_MortgageRate*(1+Assumptions_MortgageRate)^MAX(1,Assumptions_MortgageYears-(A20-Assumptions_CurrentAge))/((1+Assumptions_MortgageRate)^MAX(1,Assumptions_MortgageYears-(A20-Assumptions_CurrentAge))-1)), 0)</f>
      </c>
      <c r="O20" s="14">
        <f>IF(AND(Assumptions_ConsumerDebt&gt;0, A20&lt;Assumptions_ConsumerPayoffAge), IF(Assumptions_ConsumerDebtRate=0, Assumptions_ConsumerDebt/MAX(1,Assumptions_ConsumerPayoffAge-Assumptions_CurrentAge-(A20-Assumptions_CurrentAge)), Assumptions_ConsumerDebt*Assumptions_ConsumerDebtRate*(1+Assumptions_ConsumerDebtRate)^MAX(1,Assumptions_ConsumerPayoffAge-Assumptions_CurrentAge-(A20-Assumptions_CurrentAge))/((1+Assumptions_ConsumerDebtRate)^MAX(1,Assumptions_ConsumerPayoffAge-Assumptions_CurrentAge-(A20-Assumptions_CurrentAge))-1)), 0)+IF(AND(Assumptions_OtherDebt&gt;0, A20&lt;Assumptions_OtherPayoffAge), IF(Assumptions_OtherDebtRate=0, Assumptions_OtherDebt/MAX(1,Assumptions_OtherPayoffAge-Assumptions_CurrentAge-(A20-Assumptions_CurrentAge)), Assumptions_OtherDebt*Assumptions_OtherDebtRate*(1+Assumptions_OtherDebtRate)^MAX(1,Assumptions_OtherPayoffAge-Assumptions_CurrentAge-(A20-Assumptions_CurrentAge))/((1+Assumptions_OtherDebtRate)^MAX(1,Assumptions_OtherPayoffAge-Assumptions_CurrentAge-(A20-Assumptions_CurrentAge))-1)), 0)</f>
      </c>
      <c r="P20" s="14">
        <f>M20+N20+O20</f>
      </c>
      <c r="Q20" s="14">
        <f>IF(L20&lt;=0, 0, MAX(0, SUMPRODUCT(MAX(MIN(L20,FedBracketMax)-FedBracketMin,0)*FedBracketRate) - (FedBasicPersonal + IF(A20&gt;=65, MAX(0, FedAgeAmount - MAX(0, L20-FedAgeThreshold)*FedAgeClawRate), 0) + IF(OR(H20&gt;0, I20&gt;0), FedPensionCredit, 0)) * FedCreditRate))</f>
      </c>
      <c r="R20" s="14">
        <f>L20-Q20</f>
      </c>
      <c r="S20" s="14">
        <f>MAX(0,P20-R20)</f>
      </c>
      <c r="T20" s="14">
        <f>MIN(S20,AM19)</f>
      </c>
      <c r="U20" s="14">
        <f>MAX(0,S20-T20)</f>
      </c>
      <c r="V20" s="14">
        <f>MIN(U20,AN19)</f>
      </c>
      <c r="W20" s="14">
        <f>MAX(0,U20-V20)</f>
      </c>
      <c r="X20" s="16">
        <f>INDEX(FedBracketRate,MATCH(L20,FedBracketMin,1))+INDEX(ProvBracketRate,MATCH(L20,ProvBracketMin,1))</f>
      </c>
      <c r="Y20" s="14">
        <f>IF(W20&gt;0, MIN(IF(X20&gt;=1, W20, W20/(1-X20)), MAX(0,AL19-K20)), 0)</f>
      </c>
      <c r="Z20" s="14">
        <f>K20+Y20</f>
      </c>
      <c r="AA20" s="14">
        <f>IF(W20&gt;Y20*(1-X20), MIN(MAX(0,W20-Y20*(1-X20)),AO19), 0)</f>
      </c>
      <c r="AB20" s="14">
        <f>MIN(Assumptions_OasMaxAnnual, MAX(0,(E20+F20+G20+H20+Z20-Assumptions_OasClawbackThresh)*Assumptions_OasClawbackRate))</f>
      </c>
      <c r="AC20" s="14">
        <f>MAX(0,G20-AB20)</f>
      </c>
      <c r="AD20" s="14">
        <f>V20*IF(AN19&gt;0, MAX(0,1-AS19/AN19), 0)*Assumptions_CapGainsRate</f>
      </c>
      <c r="AE20" s="14">
        <f>E20+F20+AC20+H20+Z20+AD20</f>
      </c>
      <c r="AF20" s="14">
        <f>MAX(0, SUMPRODUCT(MAX(MIN(AE20,FedBracketMax)-FedBracketMin,0)*FedBracketRate) - (FedBasicPersonal + IF(A20&gt;=65, MAX(0, FedAgeAmount - MAX(0, AE20-FedAgeThreshold)*FedAgeClawRate), 0) + IF(OR(H20&gt;0, I20&gt;0), FedPensionCredit, 0)) * FedCreditRate)</f>
      </c>
      <c r="AG20" s="14">
        <f>MAX(0, SUMPRODUCT(MAX(MIN(AE20,ProvBracketMax)-ProvBracketMin,0)*ProvBracketRate) - (ProvBasicPersonal + IF(A20&gt;=65, MAX(0, ProvAgeAmount - MAX(0, AE20-ProvAgeThreshold)*ProvAgeClawRate), 0) + IF(OR(H20&gt;0, I20&gt;0), ProvPensionCredit, 0)) * ProvCreditRate) + MAX(0, (MAX(0, SUMPRODUCT(MAX(MIN(AE20,ProvBracketMax)-ProvBracketMin,0)*ProvBracketRate) - (ProvBasicPersonal + IF(A20&gt;=65, MAX(0, ProvAgeAmount - MAX(0, AE20-ProvAgeThreshold)*ProvAgeClawRate), 0) + IF(OR(H20&gt;0, I20&gt;0), ProvPensionCredit, 0)) * ProvCreditRate)-SurtaxThreshold1)*SurtaxRate1) + MAX(0, (MAX(0, SUMPRODUCT(MAX(MIN(AE20,ProvBracketMax)-ProvBracketMin,0)*ProvBracketRate) - (ProvBasicPersonal + IF(A20&gt;=65, MAX(0, ProvAgeAmount - MAX(0, AE20-ProvAgeThreshold)*ProvAgeClawRate), 0) + IF(OR(H20&gt;0, I20&gt;0), ProvPensionCredit, 0)) * ProvCreditRate)-SurtaxThreshold2)*SurtaxRate2)</f>
      </c>
      <c r="AH20" s="14">
        <f>AF20+AG20</f>
      </c>
      <c r="AI20" s="14">
        <f>E20+F20+AC20+H20+Z20+T20+V20+AA20-AH20</f>
      </c>
      <c r="AJ20" s="14">
        <f>AI20-M20-N20-O20</f>
      </c>
      <c r="AK20" s="14">
        <f>IF(AJ20&gt;0, MIN(AJ20, Assumptions_TfsaAnnualLimit), 0)</f>
      </c>
      <c r="AL20" s="14">
        <f>MAX(0,AL19-Z20)*(1+Assumptions_RealReturn)</f>
      </c>
      <c r="AM20" s="14">
        <f>MAX(0,AM19-T20+AK20)*(1+Assumptions_TfsaReturn)</f>
      </c>
      <c r="AN20" s="14">
        <f>MAX(0,AN19-V20+MAX(0,AJ20-AK20))*(1+Assumptions_NonRegReturn)</f>
      </c>
      <c r="AO20" s="14">
        <f>MAX(0,AO19-AA20)*(1+Assumptions_RealReturn)</f>
      </c>
      <c r="AP20" s="14">
        <f>IF(N20&gt;0, MAX(0, AP19*(1+Assumptions_MortgageRate)-N20), 0)</f>
      </c>
      <c r="AQ20" s="14">
        <f>AL20+AM20+AN20+AO20</f>
      </c>
      <c r="AR20" s="14">
        <f>AQ20+Assumptions_RealEstateValue-AP20</f>
      </c>
      <c r="AS20" s="14">
        <f>MAX(0,AS19*MAX(0,AN19-V20)/IF(AN19&gt;0,AN19,1))+MAX(0,AJ20-AK20)</f>
      </c>
    </row>
    <row r="21" spans="1:45" x14ac:dyDescent="0.25">
      <c r="A21" s="15">
        <f>A20+1</f>
      </c>
      <c r="B21" s="15">
        <f>2026+(A21-Assumptions_CurrentAge)</f>
      </c>
      <c r="C21" s="15">
        <f>IF(A21&gt;=Assumptions_RetirementAge,1,0)</f>
      </c>
      <c r="D21" s="17">
        <f>(1+Assumptions_Inflation)^(A21-Assumptions_CurrentAge)</f>
      </c>
      <c r="E21" s="14">
        <f>IF(AND(C21=0,Assumptions_StillWorking=1),Assumptions_EmploymentIncome*D21,0)</f>
      </c>
      <c r="F21" s="14">
        <f>IF(A21&gt;=Assumptions_CppStartAge, Assumptions_CppMonthly*12*IF((Assumptions_CppStartAge-65)*12&lt;0, 1+(Assumptions_CppStartAge-65)*12*CppEarlyReduction, 1+(Assumptions_CppStartAge-65)*12*CppLateIncrease)*D21, 0)</f>
      </c>
      <c r="G21" s="14">
        <f>IF(A21&gt;=Assumptions_OasStartAge, Assumptions_OasMonthly*12*(1+MAX(0, MIN(Assumptions_OasStartAge, OasMaxDeferAge)-OasStdStartAge)*12*OasDeferralBonus)*D21, 0)</f>
      </c>
      <c r="H21" s="14">
        <f>IF(AND(Assumptions_PensionType="db",A21&gt;=Assumptions_DbPensionStartAge), IF(Assumptions_DbPensionIndexed=1, Assumptions_DbPensionAnnual*D21, Assumptions_DbPensionAnnual), 0)</f>
      </c>
      <c r="I21" s="14">
        <f>IF(AND(A21&gt;=72,AL20&gt;0), VLOOKUP(MIN(A21,95),RrifRates,2,TRUE)*AL20, 0)</f>
      </c>
      <c r="J21" s="14">
        <f>IF(AND(Assumptions_MeltdownEnabled=1,A21&gt;=Assumptions_MeltdownStartAge,A21&lt;Assumptions_MeltdownTargetAge), MIN(Assumptions_MeltdownAnnual,AL20), 0)</f>
      </c>
      <c r="K21" s="14">
        <f>MIN(MAX(I21,J21),AL20)</f>
      </c>
      <c r="L21" s="14">
        <f>E21+F21+G21+H21+K21</f>
      </c>
      <c r="M21" s="14">
        <f>IF(C21=1, Assumptions_MonthlyExpenses*12*(1-Assumptions_ExpenseReduction), Assumptions_MonthlyExpenses*12)*D21</f>
      </c>
      <c r="N21" s="14">
        <f>IF(AND(AP20&gt;0, (A21-Assumptions_CurrentAge)&lt;Assumptions_MortgageYears), IF(Assumptions_MortgageRate=0, AP20/MAX(1,Assumptions_MortgageYears-(A21-Assumptions_CurrentAge)), AP20*Assumptions_MortgageRate*(1+Assumptions_MortgageRate)^MAX(1,Assumptions_MortgageYears-(A21-Assumptions_CurrentAge))/((1+Assumptions_MortgageRate)^MAX(1,Assumptions_MortgageYears-(A21-Assumptions_CurrentAge))-1)), 0)</f>
      </c>
      <c r="O21" s="14">
        <f>IF(AND(Assumptions_ConsumerDebt&gt;0, A21&lt;Assumptions_ConsumerPayoffAge), IF(Assumptions_ConsumerDebtRate=0, Assumptions_ConsumerDebt/MAX(1,Assumptions_ConsumerPayoffAge-Assumptions_CurrentAge-(A21-Assumptions_CurrentAge)), Assumptions_ConsumerDebt*Assumptions_ConsumerDebtRate*(1+Assumptions_ConsumerDebtRate)^MAX(1,Assumptions_ConsumerPayoffAge-Assumptions_CurrentAge-(A21-Assumptions_CurrentAge))/((1+Assumptions_ConsumerDebtRate)^MAX(1,Assumptions_ConsumerPayoffAge-Assumptions_CurrentAge-(A21-Assumptions_CurrentAge))-1)), 0)+IF(AND(Assumptions_OtherDebt&gt;0, A21&lt;Assumptions_OtherPayoffAge), IF(Assumptions_OtherDebtRate=0, Assumptions_OtherDebt/MAX(1,Assumptions_OtherPayoffAge-Assumptions_CurrentAge-(A21-Assumptions_CurrentAge)), Assumptions_OtherDebt*Assumptions_OtherDebtRate*(1+Assumptions_OtherDebtRate)^MAX(1,Assumptions_OtherPayoffAge-Assumptions_CurrentAge-(A21-Assumptions_CurrentAge))/((1+Assumptions_OtherDebtRate)^MAX(1,Assumptions_OtherPayoffAge-Assumptions_CurrentAge-(A21-Assumptions_CurrentAge))-1)), 0)</f>
      </c>
      <c r="P21" s="14">
        <f>M21+N21+O21</f>
      </c>
      <c r="Q21" s="14">
        <f>IF(L21&lt;=0, 0, MAX(0, SUMPRODUCT(MAX(MIN(L21,FedBracketMax)-FedBracketMin,0)*FedBracketRate) - (FedBasicPersonal + IF(A21&gt;=65, MAX(0, FedAgeAmount - MAX(0, L21-FedAgeThreshold)*FedAgeClawRate), 0) + IF(OR(H21&gt;0, I21&gt;0), FedPensionCredit, 0)) * FedCreditRate))</f>
      </c>
      <c r="R21" s="14">
        <f>L21-Q21</f>
      </c>
      <c r="S21" s="14">
        <f>MAX(0,P21-R21)</f>
      </c>
      <c r="T21" s="14">
        <f>MIN(S21,AM20)</f>
      </c>
      <c r="U21" s="14">
        <f>MAX(0,S21-T21)</f>
      </c>
      <c r="V21" s="14">
        <f>MIN(U21,AN20)</f>
      </c>
      <c r="W21" s="14">
        <f>MAX(0,U21-V21)</f>
      </c>
      <c r="X21" s="16">
        <f>INDEX(FedBracketRate,MATCH(L21,FedBracketMin,1))+INDEX(ProvBracketRate,MATCH(L21,ProvBracketMin,1))</f>
      </c>
      <c r="Y21" s="14">
        <f>IF(W21&gt;0, MIN(IF(X21&gt;=1, W21, W21/(1-X21)), MAX(0,AL20-K21)), 0)</f>
      </c>
      <c r="Z21" s="14">
        <f>K21+Y21</f>
      </c>
      <c r="AA21" s="14">
        <f>IF(W21&gt;Y21*(1-X21), MIN(MAX(0,W21-Y21*(1-X21)),AO20), 0)</f>
      </c>
      <c r="AB21" s="14">
        <f>MIN(Assumptions_OasMaxAnnual, MAX(0,(E21+F21+G21+H21+Z21-Assumptions_OasClawbackThresh)*Assumptions_OasClawbackRate))</f>
      </c>
      <c r="AC21" s="14">
        <f>MAX(0,G21-AB21)</f>
      </c>
      <c r="AD21" s="14">
        <f>V21*IF(AN20&gt;0, MAX(0,1-AS20/AN20), 0)*Assumptions_CapGainsRate</f>
      </c>
      <c r="AE21" s="14">
        <f>E21+F21+AC21+H21+Z21+AD21</f>
      </c>
      <c r="AF21" s="14">
        <f>MAX(0, SUMPRODUCT(MAX(MIN(AE21,FedBracketMax)-FedBracketMin,0)*FedBracketRate) - (FedBasicPersonal + IF(A21&gt;=65, MAX(0, FedAgeAmount - MAX(0, AE21-FedAgeThreshold)*FedAgeClawRate), 0) + IF(OR(H21&gt;0, I21&gt;0), FedPensionCredit, 0)) * FedCreditRate)</f>
      </c>
      <c r="AG21" s="14">
        <f>MAX(0, SUMPRODUCT(MAX(MIN(AE21,ProvBracketMax)-ProvBracketMin,0)*ProvBracketRate) - (ProvBasicPersonal + IF(A21&gt;=65, MAX(0, ProvAgeAmount - MAX(0, AE21-ProvAgeThreshold)*ProvAgeClawRate), 0) + IF(OR(H21&gt;0, I21&gt;0), ProvPensionCredit, 0)) * ProvCreditRate) + MAX(0, (MAX(0, SUMPRODUCT(MAX(MIN(AE21,ProvBracketMax)-ProvBracketMin,0)*ProvBracketRate) - (ProvBasicPersonal + IF(A21&gt;=65, MAX(0, ProvAgeAmount - MAX(0, AE21-ProvAgeThreshold)*ProvAgeClawRate), 0) + IF(OR(H21&gt;0, I21&gt;0), ProvPensionCredit, 0)) * ProvCreditRate)-SurtaxThreshold1)*SurtaxRate1) + MAX(0, (MAX(0, SUMPRODUCT(MAX(MIN(AE21,ProvBracketMax)-ProvBracketMin,0)*ProvBracketRate) - (ProvBasicPersonal + IF(A21&gt;=65, MAX(0, ProvAgeAmount - MAX(0, AE21-ProvAgeThreshold)*ProvAgeClawRate), 0) + IF(OR(H21&gt;0, I21&gt;0), ProvPensionCredit, 0)) * ProvCreditRate)-SurtaxThreshold2)*SurtaxRate2)</f>
      </c>
      <c r="AH21" s="14">
        <f>AF21+AG21</f>
      </c>
      <c r="AI21" s="14">
        <f>E21+F21+AC21+H21+Z21+T21+V21+AA21-AH21</f>
      </c>
      <c r="AJ21" s="14">
        <f>AI21-M21-N21-O21</f>
      </c>
      <c r="AK21" s="14">
        <f>IF(AJ21&gt;0, MIN(AJ21, Assumptions_TfsaAnnualLimit), 0)</f>
      </c>
      <c r="AL21" s="14">
        <f>MAX(0,AL20-Z21)*(1+Assumptions_RealReturn)</f>
      </c>
      <c r="AM21" s="14">
        <f>MAX(0,AM20-T21+AK21)*(1+Assumptions_TfsaReturn)</f>
      </c>
      <c r="AN21" s="14">
        <f>MAX(0,AN20-V21+MAX(0,AJ21-AK21))*(1+Assumptions_NonRegReturn)</f>
      </c>
      <c r="AO21" s="14">
        <f>MAX(0,AO20-AA21)*(1+Assumptions_RealReturn)</f>
      </c>
      <c r="AP21" s="14">
        <f>IF(N21&gt;0, MAX(0, AP20*(1+Assumptions_MortgageRate)-N21), 0)</f>
      </c>
      <c r="AQ21" s="14">
        <f>AL21+AM21+AN21+AO21</f>
      </c>
      <c r="AR21" s="14">
        <f>AQ21+Assumptions_RealEstateValue-AP21</f>
      </c>
      <c r="AS21" s="14">
        <f>MAX(0,AS20*MAX(0,AN20-V21)/IF(AN20&gt;0,AN20,1))+MAX(0,AJ21-AK21)</f>
      </c>
    </row>
    <row r="22" spans="1:45" x14ac:dyDescent="0.25">
      <c r="A22" s="15">
        <f>A21+1</f>
      </c>
      <c r="B22" s="15">
        <f>2026+(A22-Assumptions_CurrentAge)</f>
      </c>
      <c r="C22" s="15">
        <f>IF(A22&gt;=Assumptions_RetirementAge,1,0)</f>
      </c>
      <c r="D22" s="17">
        <f>(1+Assumptions_Inflation)^(A22-Assumptions_CurrentAge)</f>
      </c>
      <c r="E22" s="14">
        <f>IF(AND(C22=0,Assumptions_StillWorking=1),Assumptions_EmploymentIncome*D22,0)</f>
      </c>
      <c r="F22" s="14">
        <f>IF(A22&gt;=Assumptions_CppStartAge, Assumptions_CppMonthly*12*IF((Assumptions_CppStartAge-65)*12&lt;0, 1+(Assumptions_CppStartAge-65)*12*CppEarlyReduction, 1+(Assumptions_CppStartAge-65)*12*CppLateIncrease)*D22, 0)</f>
      </c>
      <c r="G22" s="14">
        <f>IF(A22&gt;=Assumptions_OasStartAge, Assumptions_OasMonthly*12*(1+MAX(0, MIN(Assumptions_OasStartAge, OasMaxDeferAge)-OasStdStartAge)*12*OasDeferralBonus)*D22, 0)</f>
      </c>
      <c r="H22" s="14">
        <f>IF(AND(Assumptions_PensionType="db",A22&gt;=Assumptions_DbPensionStartAge), IF(Assumptions_DbPensionIndexed=1, Assumptions_DbPensionAnnual*D22, Assumptions_DbPensionAnnual), 0)</f>
      </c>
      <c r="I22" s="14">
        <f>IF(AND(A22&gt;=72,AL21&gt;0), VLOOKUP(MIN(A22,95),RrifRates,2,TRUE)*AL21, 0)</f>
      </c>
      <c r="J22" s="14">
        <f>IF(AND(Assumptions_MeltdownEnabled=1,A22&gt;=Assumptions_MeltdownStartAge,A22&lt;Assumptions_MeltdownTargetAge), MIN(Assumptions_MeltdownAnnual,AL21), 0)</f>
      </c>
      <c r="K22" s="14">
        <f>MIN(MAX(I22,J22),AL21)</f>
      </c>
      <c r="L22" s="14">
        <f>E22+F22+G22+H22+K22</f>
      </c>
      <c r="M22" s="14">
        <f>IF(C22=1, Assumptions_MonthlyExpenses*12*(1-Assumptions_ExpenseReduction), Assumptions_MonthlyExpenses*12)*D22</f>
      </c>
      <c r="N22" s="14">
        <f>IF(AND(AP21&gt;0, (A22-Assumptions_CurrentAge)&lt;Assumptions_MortgageYears), IF(Assumptions_MortgageRate=0, AP21/MAX(1,Assumptions_MortgageYears-(A22-Assumptions_CurrentAge)), AP21*Assumptions_MortgageRate*(1+Assumptions_MortgageRate)^MAX(1,Assumptions_MortgageYears-(A22-Assumptions_CurrentAge))/((1+Assumptions_MortgageRate)^MAX(1,Assumptions_MortgageYears-(A22-Assumptions_CurrentAge))-1)), 0)</f>
      </c>
      <c r="O22" s="14">
        <f>IF(AND(Assumptions_ConsumerDebt&gt;0, A22&lt;Assumptions_ConsumerPayoffAge), IF(Assumptions_ConsumerDebtRate=0, Assumptions_ConsumerDebt/MAX(1,Assumptions_ConsumerPayoffAge-Assumptions_CurrentAge-(A22-Assumptions_CurrentAge)), Assumptions_ConsumerDebt*Assumptions_ConsumerDebtRate*(1+Assumptions_ConsumerDebtRate)^MAX(1,Assumptions_ConsumerPayoffAge-Assumptions_CurrentAge-(A22-Assumptions_CurrentAge))/((1+Assumptions_ConsumerDebtRate)^MAX(1,Assumptions_ConsumerPayoffAge-Assumptions_CurrentAge-(A22-Assumptions_CurrentAge))-1)), 0)+IF(AND(Assumptions_OtherDebt&gt;0, A22&lt;Assumptions_OtherPayoffAge), IF(Assumptions_OtherDebtRate=0, Assumptions_OtherDebt/MAX(1,Assumptions_OtherPayoffAge-Assumptions_CurrentAge-(A22-Assumptions_CurrentAge)), Assumptions_OtherDebt*Assumptions_OtherDebtRate*(1+Assumptions_OtherDebtRate)^MAX(1,Assumptions_OtherPayoffAge-Assumptions_CurrentAge-(A22-Assumptions_CurrentAge))/((1+Assumptions_OtherDebtRate)^MAX(1,Assumptions_OtherPayoffAge-Assumptions_CurrentAge-(A22-Assumptions_CurrentAge))-1)), 0)</f>
      </c>
      <c r="P22" s="14">
        <f>M22+N22+O22</f>
      </c>
      <c r="Q22" s="14">
        <f>IF(L22&lt;=0, 0, MAX(0, SUMPRODUCT(MAX(MIN(L22,FedBracketMax)-FedBracketMin,0)*FedBracketRate) - (FedBasicPersonal + IF(A22&gt;=65, MAX(0, FedAgeAmount - MAX(0, L22-FedAgeThreshold)*FedAgeClawRate), 0) + IF(OR(H22&gt;0, I22&gt;0), FedPensionCredit, 0)) * FedCreditRate))</f>
      </c>
      <c r="R22" s="14">
        <f>L22-Q22</f>
      </c>
      <c r="S22" s="14">
        <f>MAX(0,P22-R22)</f>
      </c>
      <c r="T22" s="14">
        <f>MIN(S22,AM21)</f>
      </c>
      <c r="U22" s="14">
        <f>MAX(0,S22-T22)</f>
      </c>
      <c r="V22" s="14">
        <f>MIN(U22,AN21)</f>
      </c>
      <c r="W22" s="14">
        <f>MAX(0,U22-V22)</f>
      </c>
      <c r="X22" s="16">
        <f>INDEX(FedBracketRate,MATCH(L22,FedBracketMin,1))+INDEX(ProvBracketRate,MATCH(L22,ProvBracketMin,1))</f>
      </c>
      <c r="Y22" s="14">
        <f>IF(W22&gt;0, MIN(IF(X22&gt;=1, W22, W22/(1-X22)), MAX(0,AL21-K22)), 0)</f>
      </c>
      <c r="Z22" s="14">
        <f>K22+Y22</f>
      </c>
      <c r="AA22" s="14">
        <f>IF(W22&gt;Y22*(1-X22), MIN(MAX(0,W22-Y22*(1-X22)),AO21), 0)</f>
      </c>
      <c r="AB22" s="14">
        <f>MIN(Assumptions_OasMaxAnnual, MAX(0,(E22+F22+G22+H22+Z22-Assumptions_OasClawbackThresh)*Assumptions_OasClawbackRate))</f>
      </c>
      <c r="AC22" s="14">
        <f>MAX(0,G22-AB22)</f>
      </c>
      <c r="AD22" s="14">
        <f>V22*IF(AN21&gt;0, MAX(0,1-AS21/AN21), 0)*Assumptions_CapGainsRate</f>
      </c>
      <c r="AE22" s="14">
        <f>E22+F22+AC22+H22+Z22+AD22</f>
      </c>
      <c r="AF22" s="14">
        <f>MAX(0, SUMPRODUCT(MAX(MIN(AE22,FedBracketMax)-FedBracketMin,0)*FedBracketRate) - (FedBasicPersonal + IF(A22&gt;=65, MAX(0, FedAgeAmount - MAX(0, AE22-FedAgeThreshold)*FedAgeClawRate), 0) + IF(OR(H22&gt;0, I22&gt;0), FedPensionCredit, 0)) * FedCreditRate)</f>
      </c>
      <c r="AG22" s="14">
        <f>MAX(0, SUMPRODUCT(MAX(MIN(AE22,ProvBracketMax)-ProvBracketMin,0)*ProvBracketRate) - (ProvBasicPersonal + IF(A22&gt;=65, MAX(0, ProvAgeAmount - MAX(0, AE22-ProvAgeThreshold)*ProvAgeClawRate), 0) + IF(OR(H22&gt;0, I22&gt;0), ProvPensionCredit, 0)) * ProvCreditRate) + MAX(0, (MAX(0, SUMPRODUCT(MAX(MIN(AE22,ProvBracketMax)-ProvBracketMin,0)*ProvBracketRate) - (ProvBasicPersonal + IF(A22&gt;=65, MAX(0, ProvAgeAmount - MAX(0, AE22-ProvAgeThreshold)*ProvAgeClawRate), 0) + IF(OR(H22&gt;0, I22&gt;0), ProvPensionCredit, 0)) * ProvCreditRate)-SurtaxThreshold1)*SurtaxRate1) + MAX(0, (MAX(0, SUMPRODUCT(MAX(MIN(AE22,ProvBracketMax)-ProvBracketMin,0)*ProvBracketRate) - (ProvBasicPersonal + IF(A22&gt;=65, MAX(0, ProvAgeAmount - MAX(0, AE22-ProvAgeThreshold)*ProvAgeClawRate), 0) + IF(OR(H22&gt;0, I22&gt;0), ProvPensionCredit, 0)) * ProvCreditRate)-SurtaxThreshold2)*SurtaxRate2)</f>
      </c>
      <c r="AH22" s="14">
        <f>AF22+AG22</f>
      </c>
      <c r="AI22" s="14">
        <f>E22+F22+AC22+H22+Z22+T22+V22+AA22-AH22</f>
      </c>
      <c r="AJ22" s="14">
        <f>AI22-M22-N22-O22</f>
      </c>
      <c r="AK22" s="14">
        <f>IF(AJ22&gt;0, MIN(AJ22, Assumptions_TfsaAnnualLimit), 0)</f>
      </c>
      <c r="AL22" s="14">
        <f>MAX(0,AL21-Z22)*(1+Assumptions_RealReturn)</f>
      </c>
      <c r="AM22" s="14">
        <f>MAX(0,AM21-T22+AK22)*(1+Assumptions_TfsaReturn)</f>
      </c>
      <c r="AN22" s="14">
        <f>MAX(0,AN21-V22+MAX(0,AJ22-AK22))*(1+Assumptions_NonRegReturn)</f>
      </c>
      <c r="AO22" s="14">
        <f>MAX(0,AO21-AA22)*(1+Assumptions_RealReturn)</f>
      </c>
      <c r="AP22" s="14">
        <f>IF(N22&gt;0, MAX(0, AP21*(1+Assumptions_MortgageRate)-N22), 0)</f>
      </c>
      <c r="AQ22" s="14">
        <f>AL22+AM22+AN22+AO22</f>
      </c>
      <c r="AR22" s="14">
        <f>AQ22+Assumptions_RealEstateValue-AP22</f>
      </c>
      <c r="AS22" s="14">
        <f>MAX(0,AS21*MAX(0,AN21-V22)/IF(AN21&gt;0,AN21,1))+MAX(0,AJ22-AK22)</f>
      </c>
    </row>
    <row r="23" spans="1:45" x14ac:dyDescent="0.25">
      <c r="A23" s="15">
        <f>A22+1</f>
      </c>
      <c r="B23" s="15">
        <f>2026+(A23-Assumptions_CurrentAge)</f>
      </c>
      <c r="C23" s="15">
        <f>IF(A23&gt;=Assumptions_RetirementAge,1,0)</f>
      </c>
      <c r="D23" s="17">
        <f>(1+Assumptions_Inflation)^(A23-Assumptions_CurrentAge)</f>
      </c>
      <c r="E23" s="14">
        <f>IF(AND(C23=0,Assumptions_StillWorking=1),Assumptions_EmploymentIncome*D23,0)</f>
      </c>
      <c r="F23" s="14">
        <f>IF(A23&gt;=Assumptions_CppStartAge, Assumptions_CppMonthly*12*IF((Assumptions_CppStartAge-65)*12&lt;0, 1+(Assumptions_CppStartAge-65)*12*CppEarlyReduction, 1+(Assumptions_CppStartAge-65)*12*CppLateIncrease)*D23, 0)</f>
      </c>
      <c r="G23" s="14">
        <f>IF(A23&gt;=Assumptions_OasStartAge, Assumptions_OasMonthly*12*(1+MAX(0, MIN(Assumptions_OasStartAge, OasMaxDeferAge)-OasStdStartAge)*12*OasDeferralBonus)*D23, 0)</f>
      </c>
      <c r="H23" s="14">
        <f>IF(AND(Assumptions_PensionType="db",A23&gt;=Assumptions_DbPensionStartAge), IF(Assumptions_DbPensionIndexed=1, Assumptions_DbPensionAnnual*D23, Assumptions_DbPensionAnnual), 0)</f>
      </c>
      <c r="I23" s="14">
        <f>IF(AND(A23&gt;=72,AL22&gt;0), VLOOKUP(MIN(A23,95),RrifRates,2,TRUE)*AL22, 0)</f>
      </c>
      <c r="J23" s="14">
        <f>IF(AND(Assumptions_MeltdownEnabled=1,A23&gt;=Assumptions_MeltdownStartAge,A23&lt;Assumptions_MeltdownTargetAge), MIN(Assumptions_MeltdownAnnual,AL22), 0)</f>
      </c>
      <c r="K23" s="14">
        <f>MIN(MAX(I23,J23),AL22)</f>
      </c>
      <c r="L23" s="14">
        <f>E23+F23+G23+H23+K23</f>
      </c>
      <c r="M23" s="14">
        <f>IF(C23=1, Assumptions_MonthlyExpenses*12*(1-Assumptions_ExpenseReduction), Assumptions_MonthlyExpenses*12)*D23</f>
      </c>
      <c r="N23" s="14">
        <f>IF(AND(AP22&gt;0, (A23-Assumptions_CurrentAge)&lt;Assumptions_MortgageYears), IF(Assumptions_MortgageRate=0, AP22/MAX(1,Assumptions_MortgageYears-(A23-Assumptions_CurrentAge)), AP22*Assumptions_MortgageRate*(1+Assumptions_MortgageRate)^MAX(1,Assumptions_MortgageYears-(A23-Assumptions_CurrentAge))/((1+Assumptions_MortgageRate)^MAX(1,Assumptions_MortgageYears-(A23-Assumptions_CurrentAge))-1)), 0)</f>
      </c>
      <c r="O23" s="14">
        <f>IF(AND(Assumptions_ConsumerDebt&gt;0, A23&lt;Assumptions_ConsumerPayoffAge), IF(Assumptions_ConsumerDebtRate=0, Assumptions_ConsumerDebt/MAX(1,Assumptions_ConsumerPayoffAge-Assumptions_CurrentAge-(A23-Assumptions_CurrentAge)), Assumptions_ConsumerDebt*Assumptions_ConsumerDebtRate*(1+Assumptions_ConsumerDebtRate)^MAX(1,Assumptions_ConsumerPayoffAge-Assumptions_CurrentAge-(A23-Assumptions_CurrentAge))/((1+Assumptions_ConsumerDebtRate)^MAX(1,Assumptions_ConsumerPayoffAge-Assumptions_CurrentAge-(A23-Assumptions_CurrentAge))-1)), 0)+IF(AND(Assumptions_OtherDebt&gt;0, A23&lt;Assumptions_OtherPayoffAge), IF(Assumptions_OtherDebtRate=0, Assumptions_OtherDebt/MAX(1,Assumptions_OtherPayoffAge-Assumptions_CurrentAge-(A23-Assumptions_CurrentAge)), Assumptions_OtherDebt*Assumptions_OtherDebtRate*(1+Assumptions_OtherDebtRate)^MAX(1,Assumptions_OtherPayoffAge-Assumptions_CurrentAge-(A23-Assumptions_CurrentAge))/((1+Assumptions_OtherDebtRate)^MAX(1,Assumptions_OtherPayoffAge-Assumptions_CurrentAge-(A23-Assumptions_CurrentAge))-1)), 0)</f>
      </c>
      <c r="P23" s="14">
        <f>M23+N23+O23</f>
      </c>
      <c r="Q23" s="14">
        <f>IF(L23&lt;=0, 0, MAX(0, SUMPRODUCT(MAX(MIN(L23,FedBracketMax)-FedBracketMin,0)*FedBracketRate) - (FedBasicPersonal + IF(A23&gt;=65, MAX(0, FedAgeAmount - MAX(0, L23-FedAgeThreshold)*FedAgeClawRate), 0) + IF(OR(H23&gt;0, I23&gt;0), FedPensionCredit, 0)) * FedCreditRate))</f>
      </c>
      <c r="R23" s="14">
        <f>L23-Q23</f>
      </c>
      <c r="S23" s="14">
        <f>MAX(0,P23-R23)</f>
      </c>
      <c r="T23" s="14">
        <f>MIN(S23,AM22)</f>
      </c>
      <c r="U23" s="14">
        <f>MAX(0,S23-T23)</f>
      </c>
      <c r="V23" s="14">
        <f>MIN(U23,AN22)</f>
      </c>
      <c r="W23" s="14">
        <f>MAX(0,U23-V23)</f>
      </c>
      <c r="X23" s="16">
        <f>INDEX(FedBracketRate,MATCH(L23,FedBracketMin,1))+INDEX(ProvBracketRate,MATCH(L23,ProvBracketMin,1))</f>
      </c>
      <c r="Y23" s="14">
        <f>IF(W23&gt;0, MIN(IF(X23&gt;=1, W23, W23/(1-X23)), MAX(0,AL22-K23)), 0)</f>
      </c>
      <c r="Z23" s="14">
        <f>K23+Y23</f>
      </c>
      <c r="AA23" s="14">
        <f>IF(W23&gt;Y23*(1-X23), MIN(MAX(0,W23-Y23*(1-X23)),AO22), 0)</f>
      </c>
      <c r="AB23" s="14">
        <f>MIN(Assumptions_OasMaxAnnual, MAX(0,(E23+F23+G23+H23+Z23-Assumptions_OasClawbackThresh)*Assumptions_OasClawbackRate))</f>
      </c>
      <c r="AC23" s="14">
        <f>MAX(0,G23-AB23)</f>
      </c>
      <c r="AD23" s="14">
        <f>V23*IF(AN22&gt;0, MAX(0,1-AS22/AN22), 0)*Assumptions_CapGainsRate</f>
      </c>
      <c r="AE23" s="14">
        <f>E23+F23+AC23+H23+Z23+AD23</f>
      </c>
      <c r="AF23" s="14">
        <f>MAX(0, SUMPRODUCT(MAX(MIN(AE23,FedBracketMax)-FedBracketMin,0)*FedBracketRate) - (FedBasicPersonal + IF(A23&gt;=65, MAX(0, FedAgeAmount - MAX(0, AE23-FedAgeThreshold)*FedAgeClawRate), 0) + IF(OR(H23&gt;0, I23&gt;0), FedPensionCredit, 0)) * FedCreditRate)</f>
      </c>
      <c r="AG23" s="14">
        <f>MAX(0, SUMPRODUCT(MAX(MIN(AE23,ProvBracketMax)-ProvBracketMin,0)*ProvBracketRate) - (ProvBasicPersonal + IF(A23&gt;=65, MAX(0, ProvAgeAmount - MAX(0, AE23-ProvAgeThreshold)*ProvAgeClawRate), 0) + IF(OR(H23&gt;0, I23&gt;0), ProvPensionCredit, 0)) * ProvCreditRate) + MAX(0, (MAX(0, SUMPRODUCT(MAX(MIN(AE23,ProvBracketMax)-ProvBracketMin,0)*ProvBracketRate) - (ProvBasicPersonal + IF(A23&gt;=65, MAX(0, ProvAgeAmount - MAX(0, AE23-ProvAgeThreshold)*ProvAgeClawRate), 0) + IF(OR(H23&gt;0, I23&gt;0), ProvPensionCredit, 0)) * ProvCreditRate)-SurtaxThreshold1)*SurtaxRate1) + MAX(0, (MAX(0, SUMPRODUCT(MAX(MIN(AE23,ProvBracketMax)-ProvBracketMin,0)*ProvBracketRate) - (ProvBasicPersonal + IF(A23&gt;=65, MAX(0, ProvAgeAmount - MAX(0, AE23-ProvAgeThreshold)*ProvAgeClawRate), 0) + IF(OR(H23&gt;0, I23&gt;0), ProvPensionCredit, 0)) * ProvCreditRate)-SurtaxThreshold2)*SurtaxRate2)</f>
      </c>
      <c r="AH23" s="14">
        <f>AF23+AG23</f>
      </c>
      <c r="AI23" s="14">
        <f>E23+F23+AC23+H23+Z23+T23+V23+AA23-AH23</f>
      </c>
      <c r="AJ23" s="14">
        <f>AI23-M23-N23-O23</f>
      </c>
      <c r="AK23" s="14">
        <f>IF(AJ23&gt;0, MIN(AJ23, Assumptions_TfsaAnnualLimit), 0)</f>
      </c>
      <c r="AL23" s="14">
        <f>MAX(0,AL22-Z23)*(1+Assumptions_RealReturn)</f>
      </c>
      <c r="AM23" s="14">
        <f>MAX(0,AM22-T23+AK23)*(1+Assumptions_TfsaReturn)</f>
      </c>
      <c r="AN23" s="14">
        <f>MAX(0,AN22-V23+MAX(0,AJ23-AK23))*(1+Assumptions_NonRegReturn)</f>
      </c>
      <c r="AO23" s="14">
        <f>MAX(0,AO22-AA23)*(1+Assumptions_RealReturn)</f>
      </c>
      <c r="AP23" s="14">
        <f>IF(N23&gt;0, MAX(0, AP22*(1+Assumptions_MortgageRate)-N23), 0)</f>
      </c>
      <c r="AQ23" s="14">
        <f>AL23+AM23+AN23+AO23</f>
      </c>
      <c r="AR23" s="14">
        <f>AQ23+Assumptions_RealEstateValue-AP23</f>
      </c>
      <c r="AS23" s="14">
        <f>MAX(0,AS22*MAX(0,AN22-V23)/IF(AN22&gt;0,AN22,1))+MAX(0,AJ23-AK23)</f>
      </c>
    </row>
    <row r="24" spans="1:45" x14ac:dyDescent="0.25">
      <c r="A24" s="15">
        <f>A23+1</f>
      </c>
      <c r="B24" s="15">
        <f>2026+(A24-Assumptions_CurrentAge)</f>
      </c>
      <c r="C24" s="15">
        <f>IF(A24&gt;=Assumptions_RetirementAge,1,0)</f>
      </c>
      <c r="D24" s="17">
        <f>(1+Assumptions_Inflation)^(A24-Assumptions_CurrentAge)</f>
      </c>
      <c r="E24" s="14">
        <f>IF(AND(C24=0,Assumptions_StillWorking=1),Assumptions_EmploymentIncome*D24,0)</f>
      </c>
      <c r="F24" s="14">
        <f>IF(A24&gt;=Assumptions_CppStartAge, Assumptions_CppMonthly*12*IF((Assumptions_CppStartAge-65)*12&lt;0, 1+(Assumptions_CppStartAge-65)*12*CppEarlyReduction, 1+(Assumptions_CppStartAge-65)*12*CppLateIncrease)*D24, 0)</f>
      </c>
      <c r="G24" s="14">
        <f>IF(A24&gt;=Assumptions_OasStartAge, Assumptions_OasMonthly*12*(1+MAX(0, MIN(Assumptions_OasStartAge, OasMaxDeferAge)-OasStdStartAge)*12*OasDeferralBonus)*D24, 0)</f>
      </c>
      <c r="H24" s="14">
        <f>IF(AND(Assumptions_PensionType="db",A24&gt;=Assumptions_DbPensionStartAge), IF(Assumptions_DbPensionIndexed=1, Assumptions_DbPensionAnnual*D24, Assumptions_DbPensionAnnual), 0)</f>
      </c>
      <c r="I24" s="14">
        <f>IF(AND(A24&gt;=72,AL23&gt;0), VLOOKUP(MIN(A24,95),RrifRates,2,TRUE)*AL23, 0)</f>
      </c>
      <c r="J24" s="14">
        <f>IF(AND(Assumptions_MeltdownEnabled=1,A24&gt;=Assumptions_MeltdownStartAge,A24&lt;Assumptions_MeltdownTargetAge), MIN(Assumptions_MeltdownAnnual,AL23), 0)</f>
      </c>
      <c r="K24" s="14">
        <f>MIN(MAX(I24,J24),AL23)</f>
      </c>
      <c r="L24" s="14">
        <f>E24+F24+G24+H24+K24</f>
      </c>
      <c r="M24" s="14">
        <f>IF(C24=1, Assumptions_MonthlyExpenses*12*(1-Assumptions_ExpenseReduction), Assumptions_MonthlyExpenses*12)*D24</f>
      </c>
      <c r="N24" s="14">
        <f>IF(AND(AP23&gt;0, (A24-Assumptions_CurrentAge)&lt;Assumptions_MortgageYears), IF(Assumptions_MortgageRate=0, AP23/MAX(1,Assumptions_MortgageYears-(A24-Assumptions_CurrentAge)), AP23*Assumptions_MortgageRate*(1+Assumptions_MortgageRate)^MAX(1,Assumptions_MortgageYears-(A24-Assumptions_CurrentAge))/((1+Assumptions_MortgageRate)^MAX(1,Assumptions_MortgageYears-(A24-Assumptions_CurrentAge))-1)), 0)</f>
      </c>
      <c r="O24" s="14">
        <f>IF(AND(Assumptions_ConsumerDebt&gt;0, A24&lt;Assumptions_ConsumerPayoffAge), IF(Assumptions_ConsumerDebtRate=0, Assumptions_ConsumerDebt/MAX(1,Assumptions_ConsumerPayoffAge-Assumptions_CurrentAge-(A24-Assumptions_CurrentAge)), Assumptions_ConsumerDebt*Assumptions_ConsumerDebtRate*(1+Assumptions_ConsumerDebtRate)^MAX(1,Assumptions_ConsumerPayoffAge-Assumptions_CurrentAge-(A24-Assumptions_CurrentAge))/((1+Assumptions_ConsumerDebtRate)^MAX(1,Assumptions_ConsumerPayoffAge-Assumptions_CurrentAge-(A24-Assumptions_CurrentAge))-1)), 0)+IF(AND(Assumptions_OtherDebt&gt;0, A24&lt;Assumptions_OtherPayoffAge), IF(Assumptions_OtherDebtRate=0, Assumptions_OtherDebt/MAX(1,Assumptions_OtherPayoffAge-Assumptions_CurrentAge-(A24-Assumptions_CurrentAge)), Assumptions_OtherDebt*Assumptions_OtherDebtRate*(1+Assumptions_OtherDebtRate)^MAX(1,Assumptions_OtherPayoffAge-Assumptions_CurrentAge-(A24-Assumptions_CurrentAge))/((1+Assumptions_OtherDebtRate)^MAX(1,Assumptions_OtherPayoffAge-Assumptions_CurrentAge-(A24-Assumptions_CurrentAge))-1)), 0)</f>
      </c>
      <c r="P24" s="14">
        <f>M24+N24+O24</f>
      </c>
      <c r="Q24" s="14">
        <f>IF(L24&lt;=0, 0, MAX(0, SUMPRODUCT(MAX(MIN(L24,FedBracketMax)-FedBracketMin,0)*FedBracketRate) - (FedBasicPersonal + IF(A24&gt;=65, MAX(0, FedAgeAmount - MAX(0, L24-FedAgeThreshold)*FedAgeClawRate), 0) + IF(OR(H24&gt;0, I24&gt;0), FedPensionCredit, 0)) * FedCreditRate))</f>
      </c>
      <c r="R24" s="14">
        <f>L24-Q24</f>
      </c>
      <c r="S24" s="14">
        <f>MAX(0,P24-R24)</f>
      </c>
      <c r="T24" s="14">
        <f>MIN(S24,AM23)</f>
      </c>
      <c r="U24" s="14">
        <f>MAX(0,S24-T24)</f>
      </c>
      <c r="V24" s="14">
        <f>MIN(U24,AN23)</f>
      </c>
      <c r="W24" s="14">
        <f>MAX(0,U24-V24)</f>
      </c>
      <c r="X24" s="16">
        <f>INDEX(FedBracketRate,MATCH(L24,FedBracketMin,1))+INDEX(ProvBracketRate,MATCH(L24,ProvBracketMin,1))</f>
      </c>
      <c r="Y24" s="14">
        <f>IF(W24&gt;0, MIN(IF(X24&gt;=1, W24, W24/(1-X24)), MAX(0,AL23-K24)), 0)</f>
      </c>
      <c r="Z24" s="14">
        <f>K24+Y24</f>
      </c>
      <c r="AA24" s="14">
        <f>IF(W24&gt;Y24*(1-X24), MIN(MAX(0,W24-Y24*(1-X24)),AO23), 0)</f>
      </c>
      <c r="AB24" s="14">
        <f>MIN(Assumptions_OasMaxAnnual, MAX(0,(E24+F24+G24+H24+Z24-Assumptions_OasClawbackThresh)*Assumptions_OasClawbackRate))</f>
      </c>
      <c r="AC24" s="14">
        <f>MAX(0,G24-AB24)</f>
      </c>
      <c r="AD24" s="14">
        <f>V24*IF(AN23&gt;0, MAX(0,1-AS23/AN23), 0)*Assumptions_CapGainsRate</f>
      </c>
      <c r="AE24" s="14">
        <f>E24+F24+AC24+H24+Z24+AD24</f>
      </c>
      <c r="AF24" s="14">
        <f>MAX(0, SUMPRODUCT(MAX(MIN(AE24,FedBracketMax)-FedBracketMin,0)*FedBracketRate) - (FedBasicPersonal + IF(A24&gt;=65, MAX(0, FedAgeAmount - MAX(0, AE24-FedAgeThreshold)*FedAgeClawRate), 0) + IF(OR(H24&gt;0, I24&gt;0), FedPensionCredit, 0)) * FedCreditRate)</f>
      </c>
      <c r="AG24" s="14">
        <f>MAX(0, SUMPRODUCT(MAX(MIN(AE24,ProvBracketMax)-ProvBracketMin,0)*ProvBracketRate) - (ProvBasicPersonal + IF(A24&gt;=65, MAX(0, ProvAgeAmount - MAX(0, AE24-ProvAgeThreshold)*ProvAgeClawRate), 0) + IF(OR(H24&gt;0, I24&gt;0), ProvPensionCredit, 0)) * ProvCreditRate) + MAX(0, (MAX(0, SUMPRODUCT(MAX(MIN(AE24,ProvBracketMax)-ProvBracketMin,0)*ProvBracketRate) - (ProvBasicPersonal + IF(A24&gt;=65, MAX(0, ProvAgeAmount - MAX(0, AE24-ProvAgeThreshold)*ProvAgeClawRate), 0) + IF(OR(H24&gt;0, I24&gt;0), ProvPensionCredit, 0)) * ProvCreditRate)-SurtaxThreshold1)*SurtaxRate1) + MAX(0, (MAX(0, SUMPRODUCT(MAX(MIN(AE24,ProvBracketMax)-ProvBracketMin,0)*ProvBracketRate) - (ProvBasicPersonal + IF(A24&gt;=65, MAX(0, ProvAgeAmount - MAX(0, AE24-ProvAgeThreshold)*ProvAgeClawRate), 0) + IF(OR(H24&gt;0, I24&gt;0), ProvPensionCredit, 0)) * ProvCreditRate)-SurtaxThreshold2)*SurtaxRate2)</f>
      </c>
      <c r="AH24" s="14">
        <f>AF24+AG24</f>
      </c>
      <c r="AI24" s="14">
        <f>E24+F24+AC24+H24+Z24+T24+V24+AA24-AH24</f>
      </c>
      <c r="AJ24" s="14">
        <f>AI24-M24-N24-O24</f>
      </c>
      <c r="AK24" s="14">
        <f>IF(AJ24&gt;0, MIN(AJ24, Assumptions_TfsaAnnualLimit), 0)</f>
      </c>
      <c r="AL24" s="14">
        <f>MAX(0,AL23-Z24)*(1+Assumptions_RealReturn)</f>
      </c>
      <c r="AM24" s="14">
        <f>MAX(0,AM23-T24+AK24)*(1+Assumptions_TfsaReturn)</f>
      </c>
      <c r="AN24" s="14">
        <f>MAX(0,AN23-V24+MAX(0,AJ24-AK24))*(1+Assumptions_NonRegReturn)</f>
      </c>
      <c r="AO24" s="14">
        <f>MAX(0,AO23-AA24)*(1+Assumptions_RealReturn)</f>
      </c>
      <c r="AP24" s="14">
        <f>IF(N24&gt;0, MAX(0, AP23*(1+Assumptions_MortgageRate)-N24), 0)</f>
      </c>
      <c r="AQ24" s="14">
        <f>AL24+AM24+AN24+AO24</f>
      </c>
      <c r="AR24" s="14">
        <f>AQ24+Assumptions_RealEstateValue-AP24</f>
      </c>
      <c r="AS24" s="14">
        <f>MAX(0,AS23*MAX(0,AN23-V24)/IF(AN23&gt;0,AN23,1))+MAX(0,AJ24-AK24)</f>
      </c>
    </row>
    <row r="25" spans="1:45" x14ac:dyDescent="0.25">
      <c r="A25" s="15">
        <f>A24+1</f>
      </c>
      <c r="B25" s="15">
        <f>2026+(A25-Assumptions_CurrentAge)</f>
      </c>
      <c r="C25" s="15">
        <f>IF(A25&gt;=Assumptions_RetirementAge,1,0)</f>
      </c>
      <c r="D25" s="17">
        <f>(1+Assumptions_Inflation)^(A25-Assumptions_CurrentAge)</f>
      </c>
      <c r="E25" s="14">
        <f>IF(AND(C25=0,Assumptions_StillWorking=1),Assumptions_EmploymentIncome*D25,0)</f>
      </c>
      <c r="F25" s="14">
        <f>IF(A25&gt;=Assumptions_CppStartAge, Assumptions_CppMonthly*12*IF((Assumptions_CppStartAge-65)*12&lt;0, 1+(Assumptions_CppStartAge-65)*12*CppEarlyReduction, 1+(Assumptions_CppStartAge-65)*12*CppLateIncrease)*D25, 0)</f>
      </c>
      <c r="G25" s="14">
        <f>IF(A25&gt;=Assumptions_OasStartAge, Assumptions_OasMonthly*12*(1+MAX(0, MIN(Assumptions_OasStartAge, OasMaxDeferAge)-OasStdStartAge)*12*OasDeferralBonus)*D25, 0)</f>
      </c>
      <c r="H25" s="14">
        <f>IF(AND(Assumptions_PensionType="db",A25&gt;=Assumptions_DbPensionStartAge), IF(Assumptions_DbPensionIndexed=1, Assumptions_DbPensionAnnual*D25, Assumptions_DbPensionAnnual), 0)</f>
      </c>
      <c r="I25" s="14">
        <f>IF(AND(A25&gt;=72,AL24&gt;0), VLOOKUP(MIN(A25,95),RrifRates,2,TRUE)*AL24, 0)</f>
      </c>
      <c r="J25" s="14">
        <f>IF(AND(Assumptions_MeltdownEnabled=1,A25&gt;=Assumptions_MeltdownStartAge,A25&lt;Assumptions_MeltdownTargetAge), MIN(Assumptions_MeltdownAnnual,AL24), 0)</f>
      </c>
      <c r="K25" s="14">
        <f>MIN(MAX(I25,J25),AL24)</f>
      </c>
      <c r="L25" s="14">
        <f>E25+F25+G25+H25+K25</f>
      </c>
      <c r="M25" s="14">
        <f>IF(C25=1, Assumptions_MonthlyExpenses*12*(1-Assumptions_ExpenseReduction), Assumptions_MonthlyExpenses*12)*D25</f>
      </c>
      <c r="N25" s="14">
        <f>IF(AND(AP24&gt;0, (A25-Assumptions_CurrentAge)&lt;Assumptions_MortgageYears), IF(Assumptions_MortgageRate=0, AP24/MAX(1,Assumptions_MortgageYears-(A25-Assumptions_CurrentAge)), AP24*Assumptions_MortgageRate*(1+Assumptions_MortgageRate)^MAX(1,Assumptions_MortgageYears-(A25-Assumptions_CurrentAge))/((1+Assumptions_MortgageRate)^MAX(1,Assumptions_MortgageYears-(A25-Assumptions_CurrentAge))-1)), 0)</f>
      </c>
      <c r="O25" s="14">
        <f>IF(AND(Assumptions_ConsumerDebt&gt;0, A25&lt;Assumptions_ConsumerPayoffAge), IF(Assumptions_ConsumerDebtRate=0, Assumptions_ConsumerDebt/MAX(1,Assumptions_ConsumerPayoffAge-Assumptions_CurrentAge-(A25-Assumptions_CurrentAge)), Assumptions_ConsumerDebt*Assumptions_ConsumerDebtRate*(1+Assumptions_ConsumerDebtRate)^MAX(1,Assumptions_ConsumerPayoffAge-Assumptions_CurrentAge-(A25-Assumptions_CurrentAge))/((1+Assumptions_ConsumerDebtRate)^MAX(1,Assumptions_ConsumerPayoffAge-Assumptions_CurrentAge-(A25-Assumptions_CurrentAge))-1)), 0)+IF(AND(Assumptions_OtherDebt&gt;0, A25&lt;Assumptions_OtherPayoffAge), IF(Assumptions_OtherDebtRate=0, Assumptions_OtherDebt/MAX(1,Assumptions_OtherPayoffAge-Assumptions_CurrentAge-(A25-Assumptions_CurrentAge)), Assumptions_OtherDebt*Assumptions_OtherDebtRate*(1+Assumptions_OtherDebtRate)^MAX(1,Assumptions_OtherPayoffAge-Assumptions_CurrentAge-(A25-Assumptions_CurrentAge))/((1+Assumptions_OtherDebtRate)^MAX(1,Assumptions_OtherPayoffAge-Assumptions_CurrentAge-(A25-Assumptions_CurrentAge))-1)), 0)</f>
      </c>
      <c r="P25" s="14">
        <f>M25+N25+O25</f>
      </c>
      <c r="Q25" s="14">
        <f>IF(L25&lt;=0, 0, MAX(0, SUMPRODUCT(MAX(MIN(L25,FedBracketMax)-FedBracketMin,0)*FedBracketRate) - (FedBasicPersonal + IF(A25&gt;=65, MAX(0, FedAgeAmount - MAX(0, L25-FedAgeThreshold)*FedAgeClawRate), 0) + IF(OR(H25&gt;0, I25&gt;0), FedPensionCredit, 0)) * FedCreditRate))</f>
      </c>
      <c r="R25" s="14">
        <f>L25-Q25</f>
      </c>
      <c r="S25" s="14">
        <f>MAX(0,P25-R25)</f>
      </c>
      <c r="T25" s="14">
        <f>MIN(S25,AM24)</f>
      </c>
      <c r="U25" s="14">
        <f>MAX(0,S25-T25)</f>
      </c>
      <c r="V25" s="14">
        <f>MIN(U25,AN24)</f>
      </c>
      <c r="W25" s="14">
        <f>MAX(0,U25-V25)</f>
      </c>
      <c r="X25" s="16">
        <f>INDEX(FedBracketRate,MATCH(L25,FedBracketMin,1))+INDEX(ProvBracketRate,MATCH(L25,ProvBracketMin,1))</f>
      </c>
      <c r="Y25" s="14">
        <f>IF(W25&gt;0, MIN(IF(X25&gt;=1, W25, W25/(1-X25)), MAX(0,AL24-K25)), 0)</f>
      </c>
      <c r="Z25" s="14">
        <f>K25+Y25</f>
      </c>
      <c r="AA25" s="14">
        <f>IF(W25&gt;Y25*(1-X25), MIN(MAX(0,W25-Y25*(1-X25)),AO24), 0)</f>
      </c>
      <c r="AB25" s="14">
        <f>MIN(Assumptions_OasMaxAnnual, MAX(0,(E25+F25+G25+H25+Z25-Assumptions_OasClawbackThresh)*Assumptions_OasClawbackRate))</f>
      </c>
      <c r="AC25" s="14">
        <f>MAX(0,G25-AB25)</f>
      </c>
      <c r="AD25" s="14">
        <f>V25*IF(AN24&gt;0, MAX(0,1-AS24/AN24), 0)*Assumptions_CapGainsRate</f>
      </c>
      <c r="AE25" s="14">
        <f>E25+F25+AC25+H25+Z25+AD25</f>
      </c>
      <c r="AF25" s="14">
        <f>MAX(0, SUMPRODUCT(MAX(MIN(AE25,FedBracketMax)-FedBracketMin,0)*FedBracketRate) - (FedBasicPersonal + IF(A25&gt;=65, MAX(0, FedAgeAmount - MAX(0, AE25-FedAgeThreshold)*FedAgeClawRate), 0) + IF(OR(H25&gt;0, I25&gt;0), FedPensionCredit, 0)) * FedCreditRate)</f>
      </c>
      <c r="AG25" s="14">
        <f>MAX(0, SUMPRODUCT(MAX(MIN(AE25,ProvBracketMax)-ProvBracketMin,0)*ProvBracketRate) - (ProvBasicPersonal + IF(A25&gt;=65, MAX(0, ProvAgeAmount - MAX(0, AE25-ProvAgeThreshold)*ProvAgeClawRate), 0) + IF(OR(H25&gt;0, I25&gt;0), ProvPensionCredit, 0)) * ProvCreditRate) + MAX(0, (MAX(0, SUMPRODUCT(MAX(MIN(AE25,ProvBracketMax)-ProvBracketMin,0)*ProvBracketRate) - (ProvBasicPersonal + IF(A25&gt;=65, MAX(0, ProvAgeAmount - MAX(0, AE25-ProvAgeThreshold)*ProvAgeClawRate), 0) + IF(OR(H25&gt;0, I25&gt;0), ProvPensionCredit, 0)) * ProvCreditRate)-SurtaxThreshold1)*SurtaxRate1) + MAX(0, (MAX(0, SUMPRODUCT(MAX(MIN(AE25,ProvBracketMax)-ProvBracketMin,0)*ProvBracketRate) - (ProvBasicPersonal + IF(A25&gt;=65, MAX(0, ProvAgeAmount - MAX(0, AE25-ProvAgeThreshold)*ProvAgeClawRate), 0) + IF(OR(H25&gt;0, I25&gt;0), ProvPensionCredit, 0)) * ProvCreditRate)-SurtaxThreshold2)*SurtaxRate2)</f>
      </c>
      <c r="AH25" s="14">
        <f>AF25+AG25</f>
      </c>
      <c r="AI25" s="14">
        <f>E25+F25+AC25+H25+Z25+T25+V25+AA25-AH25</f>
      </c>
      <c r="AJ25" s="14">
        <f>AI25-M25-N25-O25</f>
      </c>
      <c r="AK25" s="14">
        <f>IF(AJ25&gt;0, MIN(AJ25, Assumptions_TfsaAnnualLimit), 0)</f>
      </c>
      <c r="AL25" s="14">
        <f>MAX(0,AL24-Z25)*(1+Assumptions_RealReturn)</f>
      </c>
      <c r="AM25" s="14">
        <f>MAX(0,AM24-T25+AK25)*(1+Assumptions_TfsaReturn)</f>
      </c>
      <c r="AN25" s="14">
        <f>MAX(0,AN24-V25+MAX(0,AJ25-AK25))*(1+Assumptions_NonRegReturn)</f>
      </c>
      <c r="AO25" s="14">
        <f>MAX(0,AO24-AA25)*(1+Assumptions_RealReturn)</f>
      </c>
      <c r="AP25" s="14">
        <f>IF(N25&gt;0, MAX(0, AP24*(1+Assumptions_MortgageRate)-N25), 0)</f>
      </c>
      <c r="AQ25" s="14">
        <f>AL25+AM25+AN25+AO25</f>
      </c>
      <c r="AR25" s="14">
        <f>AQ25+Assumptions_RealEstateValue-AP25</f>
      </c>
      <c r="AS25" s="14">
        <f>MAX(0,AS24*MAX(0,AN24-V25)/IF(AN24&gt;0,AN24,1))+MAX(0,AJ25-AK25)</f>
      </c>
    </row>
    <row r="26" spans="1:45" x14ac:dyDescent="0.25">
      <c r="A26" s="15">
        <f>A25+1</f>
      </c>
      <c r="B26" s="15">
        <f>2026+(A26-Assumptions_CurrentAge)</f>
      </c>
      <c r="C26" s="15">
        <f>IF(A26&gt;=Assumptions_RetirementAge,1,0)</f>
      </c>
      <c r="D26" s="17">
        <f>(1+Assumptions_Inflation)^(A26-Assumptions_CurrentAge)</f>
      </c>
      <c r="E26" s="14">
        <f>IF(AND(C26=0,Assumptions_StillWorking=1),Assumptions_EmploymentIncome*D26,0)</f>
      </c>
      <c r="F26" s="14">
        <f>IF(A26&gt;=Assumptions_CppStartAge, Assumptions_CppMonthly*12*IF((Assumptions_CppStartAge-65)*12&lt;0, 1+(Assumptions_CppStartAge-65)*12*CppEarlyReduction, 1+(Assumptions_CppStartAge-65)*12*CppLateIncrease)*D26, 0)</f>
      </c>
      <c r="G26" s="14">
        <f>IF(A26&gt;=Assumptions_OasStartAge, Assumptions_OasMonthly*12*(1+MAX(0, MIN(Assumptions_OasStartAge, OasMaxDeferAge)-OasStdStartAge)*12*OasDeferralBonus)*D26, 0)</f>
      </c>
      <c r="H26" s="14">
        <f>IF(AND(Assumptions_PensionType="db",A26&gt;=Assumptions_DbPensionStartAge), IF(Assumptions_DbPensionIndexed=1, Assumptions_DbPensionAnnual*D26, Assumptions_DbPensionAnnual), 0)</f>
      </c>
      <c r="I26" s="14">
        <f>IF(AND(A26&gt;=72,AL25&gt;0), VLOOKUP(MIN(A26,95),RrifRates,2,TRUE)*AL25, 0)</f>
      </c>
      <c r="J26" s="14">
        <f>IF(AND(Assumptions_MeltdownEnabled=1,A26&gt;=Assumptions_MeltdownStartAge,A26&lt;Assumptions_MeltdownTargetAge), MIN(Assumptions_MeltdownAnnual,AL25), 0)</f>
      </c>
      <c r="K26" s="14">
        <f>MIN(MAX(I26,J26),AL25)</f>
      </c>
      <c r="L26" s="14">
        <f>E26+F26+G26+H26+K26</f>
      </c>
      <c r="M26" s="14">
        <f>IF(C26=1, Assumptions_MonthlyExpenses*12*(1-Assumptions_ExpenseReduction), Assumptions_MonthlyExpenses*12)*D26</f>
      </c>
      <c r="N26" s="14">
        <f>IF(AND(AP25&gt;0, (A26-Assumptions_CurrentAge)&lt;Assumptions_MortgageYears), IF(Assumptions_MortgageRate=0, AP25/MAX(1,Assumptions_MortgageYears-(A26-Assumptions_CurrentAge)), AP25*Assumptions_MortgageRate*(1+Assumptions_MortgageRate)^MAX(1,Assumptions_MortgageYears-(A26-Assumptions_CurrentAge))/((1+Assumptions_MortgageRate)^MAX(1,Assumptions_MortgageYears-(A26-Assumptions_CurrentAge))-1)), 0)</f>
      </c>
      <c r="O26" s="14">
        <f>IF(AND(Assumptions_ConsumerDebt&gt;0, A26&lt;Assumptions_ConsumerPayoffAge), IF(Assumptions_ConsumerDebtRate=0, Assumptions_ConsumerDebt/MAX(1,Assumptions_ConsumerPayoffAge-Assumptions_CurrentAge-(A26-Assumptions_CurrentAge)), Assumptions_ConsumerDebt*Assumptions_ConsumerDebtRate*(1+Assumptions_ConsumerDebtRate)^MAX(1,Assumptions_ConsumerPayoffAge-Assumptions_CurrentAge-(A26-Assumptions_CurrentAge))/((1+Assumptions_ConsumerDebtRate)^MAX(1,Assumptions_ConsumerPayoffAge-Assumptions_CurrentAge-(A26-Assumptions_CurrentAge))-1)), 0)+IF(AND(Assumptions_OtherDebt&gt;0, A26&lt;Assumptions_OtherPayoffAge), IF(Assumptions_OtherDebtRate=0, Assumptions_OtherDebt/MAX(1,Assumptions_OtherPayoffAge-Assumptions_CurrentAge-(A26-Assumptions_CurrentAge)), Assumptions_OtherDebt*Assumptions_OtherDebtRate*(1+Assumptions_OtherDebtRate)^MAX(1,Assumptions_OtherPayoffAge-Assumptions_CurrentAge-(A26-Assumptions_CurrentAge))/((1+Assumptions_OtherDebtRate)^MAX(1,Assumptions_OtherPayoffAge-Assumptions_CurrentAge-(A26-Assumptions_CurrentAge))-1)), 0)</f>
      </c>
      <c r="P26" s="14">
        <f>M26+N26+O26</f>
      </c>
      <c r="Q26" s="14">
        <f>IF(L26&lt;=0, 0, MAX(0, SUMPRODUCT(MAX(MIN(L26,FedBracketMax)-FedBracketMin,0)*FedBracketRate) - (FedBasicPersonal + IF(A26&gt;=65, MAX(0, FedAgeAmount - MAX(0, L26-FedAgeThreshold)*FedAgeClawRate), 0) + IF(OR(H26&gt;0, I26&gt;0), FedPensionCredit, 0)) * FedCreditRate))</f>
      </c>
      <c r="R26" s="14">
        <f>L26-Q26</f>
      </c>
      <c r="S26" s="14">
        <f>MAX(0,P26-R26)</f>
      </c>
      <c r="T26" s="14">
        <f>MIN(S26,AM25)</f>
      </c>
      <c r="U26" s="14">
        <f>MAX(0,S26-T26)</f>
      </c>
      <c r="V26" s="14">
        <f>MIN(U26,AN25)</f>
      </c>
      <c r="W26" s="14">
        <f>MAX(0,U26-V26)</f>
      </c>
      <c r="X26" s="16">
        <f>INDEX(FedBracketRate,MATCH(L26,FedBracketMin,1))+INDEX(ProvBracketRate,MATCH(L26,ProvBracketMin,1))</f>
      </c>
      <c r="Y26" s="14">
        <f>IF(W26&gt;0, MIN(IF(X26&gt;=1, W26, W26/(1-X26)), MAX(0,AL25-K26)), 0)</f>
      </c>
      <c r="Z26" s="14">
        <f>K26+Y26</f>
      </c>
      <c r="AA26" s="14">
        <f>IF(W26&gt;Y26*(1-X26), MIN(MAX(0,W26-Y26*(1-X26)),AO25), 0)</f>
      </c>
      <c r="AB26" s="14">
        <f>MIN(Assumptions_OasMaxAnnual, MAX(0,(E26+F26+G26+H26+Z26-Assumptions_OasClawbackThresh)*Assumptions_OasClawbackRate))</f>
      </c>
      <c r="AC26" s="14">
        <f>MAX(0,G26-AB26)</f>
      </c>
      <c r="AD26" s="14">
        <f>V26*IF(AN25&gt;0, MAX(0,1-AS25/AN25), 0)*Assumptions_CapGainsRate</f>
      </c>
      <c r="AE26" s="14">
        <f>E26+F26+AC26+H26+Z26+AD26</f>
      </c>
      <c r="AF26" s="14">
        <f>MAX(0, SUMPRODUCT(MAX(MIN(AE26,FedBracketMax)-FedBracketMin,0)*FedBracketRate) - (FedBasicPersonal + IF(A26&gt;=65, MAX(0, FedAgeAmount - MAX(0, AE26-FedAgeThreshold)*FedAgeClawRate), 0) + IF(OR(H26&gt;0, I26&gt;0), FedPensionCredit, 0)) * FedCreditRate)</f>
      </c>
      <c r="AG26" s="14">
        <f>MAX(0, SUMPRODUCT(MAX(MIN(AE26,ProvBracketMax)-ProvBracketMin,0)*ProvBracketRate) - (ProvBasicPersonal + IF(A26&gt;=65, MAX(0, ProvAgeAmount - MAX(0, AE26-ProvAgeThreshold)*ProvAgeClawRate), 0) + IF(OR(H26&gt;0, I26&gt;0), ProvPensionCredit, 0)) * ProvCreditRate) + MAX(0, (MAX(0, SUMPRODUCT(MAX(MIN(AE26,ProvBracketMax)-ProvBracketMin,0)*ProvBracketRate) - (ProvBasicPersonal + IF(A26&gt;=65, MAX(0, ProvAgeAmount - MAX(0, AE26-ProvAgeThreshold)*ProvAgeClawRate), 0) + IF(OR(H26&gt;0, I26&gt;0), ProvPensionCredit, 0)) * ProvCreditRate)-SurtaxThreshold1)*SurtaxRate1) + MAX(0, (MAX(0, SUMPRODUCT(MAX(MIN(AE26,ProvBracketMax)-ProvBracketMin,0)*ProvBracketRate) - (ProvBasicPersonal + IF(A26&gt;=65, MAX(0, ProvAgeAmount - MAX(0, AE26-ProvAgeThreshold)*ProvAgeClawRate), 0) + IF(OR(H26&gt;0, I26&gt;0), ProvPensionCredit, 0)) * ProvCreditRate)-SurtaxThreshold2)*SurtaxRate2)</f>
      </c>
      <c r="AH26" s="14">
        <f>AF26+AG26</f>
      </c>
      <c r="AI26" s="14">
        <f>E26+F26+AC26+H26+Z26+T26+V26+AA26-AH26</f>
      </c>
      <c r="AJ26" s="14">
        <f>AI26-M26-N26-O26</f>
      </c>
      <c r="AK26" s="14">
        <f>IF(AJ26&gt;0, MIN(AJ26, Assumptions_TfsaAnnualLimit), 0)</f>
      </c>
      <c r="AL26" s="14">
        <f>MAX(0,AL25-Z26)*(1+Assumptions_RealReturn)</f>
      </c>
      <c r="AM26" s="14">
        <f>MAX(0,AM25-T26+AK26)*(1+Assumptions_TfsaReturn)</f>
      </c>
      <c r="AN26" s="14">
        <f>MAX(0,AN25-V26+MAX(0,AJ26-AK26))*(1+Assumptions_NonRegReturn)</f>
      </c>
      <c r="AO26" s="14">
        <f>MAX(0,AO25-AA26)*(1+Assumptions_RealReturn)</f>
      </c>
      <c r="AP26" s="14">
        <f>IF(N26&gt;0, MAX(0, AP25*(1+Assumptions_MortgageRate)-N26), 0)</f>
      </c>
      <c r="AQ26" s="14">
        <f>AL26+AM26+AN26+AO26</f>
      </c>
      <c r="AR26" s="14">
        <f>AQ26+Assumptions_RealEstateValue-AP26</f>
      </c>
      <c r="AS26" s="14">
        <f>MAX(0,AS25*MAX(0,AN25-V26)/IF(AN25&gt;0,AN25,1))+MAX(0,AJ26-AK26)</f>
      </c>
    </row>
    <row r="27" spans="1:45" x14ac:dyDescent="0.25">
      <c r="A27" s="15">
        <f>A26+1</f>
      </c>
      <c r="B27" s="15">
        <f>2026+(A27-Assumptions_CurrentAge)</f>
      </c>
      <c r="C27" s="15">
        <f>IF(A27&gt;=Assumptions_RetirementAge,1,0)</f>
      </c>
      <c r="D27" s="17">
        <f>(1+Assumptions_Inflation)^(A27-Assumptions_CurrentAge)</f>
      </c>
      <c r="E27" s="14">
        <f>IF(AND(C27=0,Assumptions_StillWorking=1),Assumptions_EmploymentIncome*D27,0)</f>
      </c>
      <c r="F27" s="14">
        <f>IF(A27&gt;=Assumptions_CppStartAge, Assumptions_CppMonthly*12*IF((Assumptions_CppStartAge-65)*12&lt;0, 1+(Assumptions_CppStartAge-65)*12*CppEarlyReduction, 1+(Assumptions_CppStartAge-65)*12*CppLateIncrease)*D27, 0)</f>
      </c>
      <c r="G27" s="14">
        <f>IF(A27&gt;=Assumptions_OasStartAge, Assumptions_OasMonthly*12*(1+MAX(0, MIN(Assumptions_OasStartAge, OasMaxDeferAge)-OasStdStartAge)*12*OasDeferralBonus)*D27, 0)</f>
      </c>
      <c r="H27" s="14">
        <f>IF(AND(Assumptions_PensionType="db",A27&gt;=Assumptions_DbPensionStartAge), IF(Assumptions_DbPensionIndexed=1, Assumptions_DbPensionAnnual*D27, Assumptions_DbPensionAnnual), 0)</f>
      </c>
      <c r="I27" s="14">
        <f>IF(AND(A27&gt;=72,AL26&gt;0), VLOOKUP(MIN(A27,95),RrifRates,2,TRUE)*AL26, 0)</f>
      </c>
      <c r="J27" s="14">
        <f>IF(AND(Assumptions_MeltdownEnabled=1,A27&gt;=Assumptions_MeltdownStartAge,A27&lt;Assumptions_MeltdownTargetAge), MIN(Assumptions_MeltdownAnnual,AL26), 0)</f>
      </c>
      <c r="K27" s="14">
        <f>MIN(MAX(I27,J27),AL26)</f>
      </c>
      <c r="L27" s="14">
        <f>E27+F27+G27+H27+K27</f>
      </c>
      <c r="M27" s="14">
        <f>IF(C27=1, Assumptions_MonthlyExpenses*12*(1-Assumptions_ExpenseReduction), Assumptions_MonthlyExpenses*12)*D27</f>
      </c>
      <c r="N27" s="14">
        <f>IF(AND(AP26&gt;0, (A27-Assumptions_CurrentAge)&lt;Assumptions_MortgageYears), IF(Assumptions_MortgageRate=0, AP26/MAX(1,Assumptions_MortgageYears-(A27-Assumptions_CurrentAge)), AP26*Assumptions_MortgageRate*(1+Assumptions_MortgageRate)^MAX(1,Assumptions_MortgageYears-(A27-Assumptions_CurrentAge))/((1+Assumptions_MortgageRate)^MAX(1,Assumptions_MortgageYears-(A27-Assumptions_CurrentAge))-1)), 0)</f>
      </c>
      <c r="O27" s="14">
        <f>IF(AND(Assumptions_ConsumerDebt&gt;0, A27&lt;Assumptions_ConsumerPayoffAge), IF(Assumptions_ConsumerDebtRate=0, Assumptions_ConsumerDebt/MAX(1,Assumptions_ConsumerPayoffAge-Assumptions_CurrentAge-(A27-Assumptions_CurrentAge)), Assumptions_ConsumerDebt*Assumptions_ConsumerDebtRate*(1+Assumptions_ConsumerDebtRate)^MAX(1,Assumptions_ConsumerPayoffAge-Assumptions_CurrentAge-(A27-Assumptions_CurrentAge))/((1+Assumptions_ConsumerDebtRate)^MAX(1,Assumptions_ConsumerPayoffAge-Assumptions_CurrentAge-(A27-Assumptions_CurrentAge))-1)), 0)+IF(AND(Assumptions_OtherDebt&gt;0, A27&lt;Assumptions_OtherPayoffAge), IF(Assumptions_OtherDebtRate=0, Assumptions_OtherDebt/MAX(1,Assumptions_OtherPayoffAge-Assumptions_CurrentAge-(A27-Assumptions_CurrentAge)), Assumptions_OtherDebt*Assumptions_OtherDebtRate*(1+Assumptions_OtherDebtRate)^MAX(1,Assumptions_OtherPayoffAge-Assumptions_CurrentAge-(A27-Assumptions_CurrentAge))/((1+Assumptions_OtherDebtRate)^MAX(1,Assumptions_OtherPayoffAge-Assumptions_CurrentAge-(A27-Assumptions_CurrentAge))-1)), 0)</f>
      </c>
      <c r="P27" s="14">
        <f>M27+N27+O27</f>
      </c>
      <c r="Q27" s="14">
        <f>IF(L27&lt;=0, 0, MAX(0, SUMPRODUCT(MAX(MIN(L27,FedBracketMax)-FedBracketMin,0)*FedBracketRate) - (FedBasicPersonal + IF(A27&gt;=65, MAX(0, FedAgeAmount - MAX(0, L27-FedAgeThreshold)*FedAgeClawRate), 0) + IF(OR(H27&gt;0, I27&gt;0), FedPensionCredit, 0)) * FedCreditRate))</f>
      </c>
      <c r="R27" s="14">
        <f>L27-Q27</f>
      </c>
      <c r="S27" s="14">
        <f>MAX(0,P27-R27)</f>
      </c>
      <c r="T27" s="14">
        <f>MIN(S27,AM26)</f>
      </c>
      <c r="U27" s="14">
        <f>MAX(0,S27-T27)</f>
      </c>
      <c r="V27" s="14">
        <f>MIN(U27,AN26)</f>
      </c>
      <c r="W27" s="14">
        <f>MAX(0,U27-V27)</f>
      </c>
      <c r="X27" s="16">
        <f>INDEX(FedBracketRate,MATCH(L27,FedBracketMin,1))+INDEX(ProvBracketRate,MATCH(L27,ProvBracketMin,1))</f>
      </c>
      <c r="Y27" s="14">
        <f>IF(W27&gt;0, MIN(IF(X27&gt;=1, W27, W27/(1-X27)), MAX(0,AL26-K27)), 0)</f>
      </c>
      <c r="Z27" s="14">
        <f>K27+Y27</f>
      </c>
      <c r="AA27" s="14">
        <f>IF(W27&gt;Y27*(1-X27), MIN(MAX(0,W27-Y27*(1-X27)),AO26), 0)</f>
      </c>
      <c r="AB27" s="14">
        <f>MIN(Assumptions_OasMaxAnnual, MAX(0,(E27+F27+G27+H27+Z27-Assumptions_OasClawbackThresh)*Assumptions_OasClawbackRate))</f>
      </c>
      <c r="AC27" s="14">
        <f>MAX(0,G27-AB27)</f>
      </c>
      <c r="AD27" s="14">
        <f>V27*IF(AN26&gt;0, MAX(0,1-AS26/AN26), 0)*Assumptions_CapGainsRate</f>
      </c>
      <c r="AE27" s="14">
        <f>E27+F27+AC27+H27+Z27+AD27</f>
      </c>
      <c r="AF27" s="14">
        <f>MAX(0, SUMPRODUCT(MAX(MIN(AE27,FedBracketMax)-FedBracketMin,0)*FedBracketRate) - (FedBasicPersonal + IF(A27&gt;=65, MAX(0, FedAgeAmount - MAX(0, AE27-FedAgeThreshold)*FedAgeClawRate), 0) + IF(OR(H27&gt;0, I27&gt;0), FedPensionCredit, 0)) * FedCreditRate)</f>
      </c>
      <c r="AG27" s="14">
        <f>MAX(0, SUMPRODUCT(MAX(MIN(AE27,ProvBracketMax)-ProvBracketMin,0)*ProvBracketRate) - (ProvBasicPersonal + IF(A27&gt;=65, MAX(0, ProvAgeAmount - MAX(0, AE27-ProvAgeThreshold)*ProvAgeClawRate), 0) + IF(OR(H27&gt;0, I27&gt;0), ProvPensionCredit, 0)) * ProvCreditRate) + MAX(0, (MAX(0, SUMPRODUCT(MAX(MIN(AE27,ProvBracketMax)-ProvBracketMin,0)*ProvBracketRate) - (ProvBasicPersonal + IF(A27&gt;=65, MAX(0, ProvAgeAmount - MAX(0, AE27-ProvAgeThreshold)*ProvAgeClawRate), 0) + IF(OR(H27&gt;0, I27&gt;0), ProvPensionCredit, 0)) * ProvCreditRate)-SurtaxThreshold1)*SurtaxRate1) + MAX(0, (MAX(0, SUMPRODUCT(MAX(MIN(AE27,ProvBracketMax)-ProvBracketMin,0)*ProvBracketRate) - (ProvBasicPersonal + IF(A27&gt;=65, MAX(0, ProvAgeAmount - MAX(0, AE27-ProvAgeThreshold)*ProvAgeClawRate), 0) + IF(OR(H27&gt;0, I27&gt;0), ProvPensionCredit, 0)) * ProvCreditRate)-SurtaxThreshold2)*SurtaxRate2)</f>
      </c>
      <c r="AH27" s="14">
        <f>AF27+AG27</f>
      </c>
      <c r="AI27" s="14">
        <f>E27+F27+AC27+H27+Z27+T27+V27+AA27-AH27</f>
      </c>
      <c r="AJ27" s="14">
        <f>AI27-M27-N27-O27</f>
      </c>
      <c r="AK27" s="14">
        <f>IF(AJ27&gt;0, MIN(AJ27, Assumptions_TfsaAnnualLimit), 0)</f>
      </c>
      <c r="AL27" s="14">
        <f>MAX(0,AL26-Z27)*(1+Assumptions_RealReturn)</f>
      </c>
      <c r="AM27" s="14">
        <f>MAX(0,AM26-T27+AK27)*(1+Assumptions_TfsaReturn)</f>
      </c>
      <c r="AN27" s="14">
        <f>MAX(0,AN26-V27+MAX(0,AJ27-AK27))*(1+Assumptions_NonRegReturn)</f>
      </c>
      <c r="AO27" s="14">
        <f>MAX(0,AO26-AA27)*(1+Assumptions_RealReturn)</f>
      </c>
      <c r="AP27" s="14">
        <f>IF(N27&gt;0, MAX(0, AP26*(1+Assumptions_MortgageRate)-N27), 0)</f>
      </c>
      <c r="AQ27" s="14">
        <f>AL27+AM27+AN27+AO27</f>
      </c>
      <c r="AR27" s="14">
        <f>AQ27+Assumptions_RealEstateValue-AP27</f>
      </c>
      <c r="AS27" s="14">
        <f>MAX(0,AS26*MAX(0,AN26-V27)/IF(AN26&gt;0,AN26,1))+MAX(0,AJ27-AK27)</f>
      </c>
    </row>
    <row r="28" spans="1:45" x14ac:dyDescent="0.25">
      <c r="A28" s="15">
        <f>A27+1</f>
      </c>
      <c r="B28" s="15">
        <f>2026+(A28-Assumptions_CurrentAge)</f>
      </c>
      <c r="C28" s="15">
        <f>IF(A28&gt;=Assumptions_RetirementAge,1,0)</f>
      </c>
      <c r="D28" s="17">
        <f>(1+Assumptions_Inflation)^(A28-Assumptions_CurrentAge)</f>
      </c>
      <c r="E28" s="14">
        <f>IF(AND(C28=0,Assumptions_StillWorking=1),Assumptions_EmploymentIncome*D28,0)</f>
      </c>
      <c r="F28" s="14">
        <f>IF(A28&gt;=Assumptions_CppStartAge, Assumptions_CppMonthly*12*IF((Assumptions_CppStartAge-65)*12&lt;0, 1+(Assumptions_CppStartAge-65)*12*CppEarlyReduction, 1+(Assumptions_CppStartAge-65)*12*CppLateIncrease)*D28, 0)</f>
      </c>
      <c r="G28" s="14">
        <f>IF(A28&gt;=Assumptions_OasStartAge, Assumptions_OasMonthly*12*(1+MAX(0, MIN(Assumptions_OasStartAge, OasMaxDeferAge)-OasStdStartAge)*12*OasDeferralBonus)*D28, 0)</f>
      </c>
      <c r="H28" s="14">
        <f>IF(AND(Assumptions_PensionType="db",A28&gt;=Assumptions_DbPensionStartAge), IF(Assumptions_DbPensionIndexed=1, Assumptions_DbPensionAnnual*D28, Assumptions_DbPensionAnnual), 0)</f>
      </c>
      <c r="I28" s="14">
        <f>IF(AND(A28&gt;=72,AL27&gt;0), VLOOKUP(MIN(A28,95),RrifRates,2,TRUE)*AL27, 0)</f>
      </c>
      <c r="J28" s="14">
        <f>IF(AND(Assumptions_MeltdownEnabled=1,A28&gt;=Assumptions_MeltdownStartAge,A28&lt;Assumptions_MeltdownTargetAge), MIN(Assumptions_MeltdownAnnual,AL27), 0)</f>
      </c>
      <c r="K28" s="14">
        <f>MIN(MAX(I28,J28),AL27)</f>
      </c>
      <c r="L28" s="14">
        <f>E28+F28+G28+H28+K28</f>
      </c>
      <c r="M28" s="14">
        <f>IF(C28=1, Assumptions_MonthlyExpenses*12*(1-Assumptions_ExpenseReduction), Assumptions_MonthlyExpenses*12)*D28</f>
      </c>
      <c r="N28" s="14">
        <f>IF(AND(AP27&gt;0, (A28-Assumptions_CurrentAge)&lt;Assumptions_MortgageYears), IF(Assumptions_MortgageRate=0, AP27/MAX(1,Assumptions_MortgageYears-(A28-Assumptions_CurrentAge)), AP27*Assumptions_MortgageRate*(1+Assumptions_MortgageRate)^MAX(1,Assumptions_MortgageYears-(A28-Assumptions_CurrentAge))/((1+Assumptions_MortgageRate)^MAX(1,Assumptions_MortgageYears-(A28-Assumptions_CurrentAge))-1)), 0)</f>
      </c>
      <c r="O28" s="14">
        <f>IF(AND(Assumptions_ConsumerDebt&gt;0, A28&lt;Assumptions_ConsumerPayoffAge), IF(Assumptions_ConsumerDebtRate=0, Assumptions_ConsumerDebt/MAX(1,Assumptions_ConsumerPayoffAge-Assumptions_CurrentAge-(A28-Assumptions_CurrentAge)), Assumptions_ConsumerDebt*Assumptions_ConsumerDebtRate*(1+Assumptions_ConsumerDebtRate)^MAX(1,Assumptions_ConsumerPayoffAge-Assumptions_CurrentAge-(A28-Assumptions_CurrentAge))/((1+Assumptions_ConsumerDebtRate)^MAX(1,Assumptions_ConsumerPayoffAge-Assumptions_CurrentAge-(A28-Assumptions_CurrentAge))-1)), 0)+IF(AND(Assumptions_OtherDebt&gt;0, A28&lt;Assumptions_OtherPayoffAge), IF(Assumptions_OtherDebtRate=0, Assumptions_OtherDebt/MAX(1,Assumptions_OtherPayoffAge-Assumptions_CurrentAge-(A28-Assumptions_CurrentAge)), Assumptions_OtherDebt*Assumptions_OtherDebtRate*(1+Assumptions_OtherDebtRate)^MAX(1,Assumptions_OtherPayoffAge-Assumptions_CurrentAge-(A28-Assumptions_CurrentAge))/((1+Assumptions_OtherDebtRate)^MAX(1,Assumptions_OtherPayoffAge-Assumptions_CurrentAge-(A28-Assumptions_CurrentAge))-1)), 0)</f>
      </c>
      <c r="P28" s="14">
        <f>M28+N28+O28</f>
      </c>
      <c r="Q28" s="14">
        <f>IF(L28&lt;=0, 0, MAX(0, SUMPRODUCT(MAX(MIN(L28,FedBracketMax)-FedBracketMin,0)*FedBracketRate) - (FedBasicPersonal + IF(A28&gt;=65, MAX(0, FedAgeAmount - MAX(0, L28-FedAgeThreshold)*FedAgeClawRate), 0) + IF(OR(H28&gt;0, I28&gt;0), FedPensionCredit, 0)) * FedCreditRate))</f>
      </c>
      <c r="R28" s="14">
        <f>L28-Q28</f>
      </c>
      <c r="S28" s="14">
        <f>MAX(0,P28-R28)</f>
      </c>
      <c r="T28" s="14">
        <f>MIN(S28,AM27)</f>
      </c>
      <c r="U28" s="14">
        <f>MAX(0,S28-T28)</f>
      </c>
      <c r="V28" s="14">
        <f>MIN(U28,AN27)</f>
      </c>
      <c r="W28" s="14">
        <f>MAX(0,U28-V28)</f>
      </c>
      <c r="X28" s="16">
        <f>INDEX(FedBracketRate,MATCH(L28,FedBracketMin,1))+INDEX(ProvBracketRate,MATCH(L28,ProvBracketMin,1))</f>
      </c>
      <c r="Y28" s="14">
        <f>IF(W28&gt;0, MIN(IF(X28&gt;=1, W28, W28/(1-X28)), MAX(0,AL27-K28)), 0)</f>
      </c>
      <c r="Z28" s="14">
        <f>K28+Y28</f>
      </c>
      <c r="AA28" s="14">
        <f>IF(W28&gt;Y28*(1-X28), MIN(MAX(0,W28-Y28*(1-X28)),AO27), 0)</f>
      </c>
      <c r="AB28" s="14">
        <f>MIN(Assumptions_OasMaxAnnual, MAX(0,(E28+F28+G28+H28+Z28-Assumptions_OasClawbackThresh)*Assumptions_OasClawbackRate))</f>
      </c>
      <c r="AC28" s="14">
        <f>MAX(0,G28-AB28)</f>
      </c>
      <c r="AD28" s="14">
        <f>V28*IF(AN27&gt;0, MAX(0,1-AS27/AN27), 0)*Assumptions_CapGainsRate</f>
      </c>
      <c r="AE28" s="14">
        <f>E28+F28+AC28+H28+Z28+AD28</f>
      </c>
      <c r="AF28" s="14">
        <f>MAX(0, SUMPRODUCT(MAX(MIN(AE28,FedBracketMax)-FedBracketMin,0)*FedBracketRate) - (FedBasicPersonal + IF(A28&gt;=65, MAX(0, FedAgeAmount - MAX(0, AE28-FedAgeThreshold)*FedAgeClawRate), 0) + IF(OR(H28&gt;0, I28&gt;0), FedPensionCredit, 0)) * FedCreditRate)</f>
      </c>
      <c r="AG28" s="14">
        <f>MAX(0, SUMPRODUCT(MAX(MIN(AE28,ProvBracketMax)-ProvBracketMin,0)*ProvBracketRate) - (ProvBasicPersonal + IF(A28&gt;=65, MAX(0, ProvAgeAmount - MAX(0, AE28-ProvAgeThreshold)*ProvAgeClawRate), 0) + IF(OR(H28&gt;0, I28&gt;0), ProvPensionCredit, 0)) * ProvCreditRate) + MAX(0, (MAX(0, SUMPRODUCT(MAX(MIN(AE28,ProvBracketMax)-ProvBracketMin,0)*ProvBracketRate) - (ProvBasicPersonal + IF(A28&gt;=65, MAX(0, ProvAgeAmount - MAX(0, AE28-ProvAgeThreshold)*ProvAgeClawRate), 0) + IF(OR(H28&gt;0, I28&gt;0), ProvPensionCredit, 0)) * ProvCreditRate)-SurtaxThreshold1)*SurtaxRate1) + MAX(0, (MAX(0, SUMPRODUCT(MAX(MIN(AE28,ProvBracketMax)-ProvBracketMin,0)*ProvBracketRate) - (ProvBasicPersonal + IF(A28&gt;=65, MAX(0, ProvAgeAmount - MAX(0, AE28-ProvAgeThreshold)*ProvAgeClawRate), 0) + IF(OR(H28&gt;0, I28&gt;0), ProvPensionCredit, 0)) * ProvCreditRate)-SurtaxThreshold2)*SurtaxRate2)</f>
      </c>
      <c r="AH28" s="14">
        <f>AF28+AG28</f>
      </c>
      <c r="AI28" s="14">
        <f>E28+F28+AC28+H28+Z28+T28+V28+AA28-AH28</f>
      </c>
      <c r="AJ28" s="14">
        <f>AI28-M28-N28-O28</f>
      </c>
      <c r="AK28" s="14">
        <f>IF(AJ28&gt;0, MIN(AJ28, Assumptions_TfsaAnnualLimit), 0)</f>
      </c>
      <c r="AL28" s="14">
        <f>MAX(0,AL27-Z28)*(1+Assumptions_RealReturn)</f>
      </c>
      <c r="AM28" s="14">
        <f>MAX(0,AM27-T28+AK28)*(1+Assumptions_TfsaReturn)</f>
      </c>
      <c r="AN28" s="14">
        <f>MAX(0,AN27-V28+MAX(0,AJ28-AK28))*(1+Assumptions_NonRegReturn)</f>
      </c>
      <c r="AO28" s="14">
        <f>MAX(0,AO27-AA28)*(1+Assumptions_RealReturn)</f>
      </c>
      <c r="AP28" s="14">
        <f>IF(N28&gt;0, MAX(0, AP27*(1+Assumptions_MortgageRate)-N28), 0)</f>
      </c>
      <c r="AQ28" s="14">
        <f>AL28+AM28+AN28+AO28</f>
      </c>
      <c r="AR28" s="14">
        <f>AQ28+Assumptions_RealEstateValue-AP28</f>
      </c>
      <c r="AS28" s="14">
        <f>MAX(0,AS27*MAX(0,AN27-V28)/IF(AN27&gt;0,AN27,1))+MAX(0,AJ28-AK28)</f>
      </c>
    </row>
    <row r="29" spans="1:45" x14ac:dyDescent="0.25">
      <c r="A29" s="15">
        <f>A28+1</f>
      </c>
      <c r="B29" s="15">
        <f>2026+(A29-Assumptions_CurrentAge)</f>
      </c>
      <c r="C29" s="15">
        <f>IF(A29&gt;=Assumptions_RetirementAge,1,0)</f>
      </c>
      <c r="D29" s="17">
        <f>(1+Assumptions_Inflation)^(A29-Assumptions_CurrentAge)</f>
      </c>
      <c r="E29" s="14">
        <f>IF(AND(C29=0,Assumptions_StillWorking=1),Assumptions_EmploymentIncome*D29,0)</f>
      </c>
      <c r="F29" s="14">
        <f>IF(A29&gt;=Assumptions_CppStartAge, Assumptions_CppMonthly*12*IF((Assumptions_CppStartAge-65)*12&lt;0, 1+(Assumptions_CppStartAge-65)*12*CppEarlyReduction, 1+(Assumptions_CppStartAge-65)*12*CppLateIncrease)*D29, 0)</f>
      </c>
      <c r="G29" s="14">
        <f>IF(A29&gt;=Assumptions_OasStartAge, Assumptions_OasMonthly*12*(1+MAX(0, MIN(Assumptions_OasStartAge, OasMaxDeferAge)-OasStdStartAge)*12*OasDeferralBonus)*D29, 0)</f>
      </c>
      <c r="H29" s="14">
        <f>IF(AND(Assumptions_PensionType="db",A29&gt;=Assumptions_DbPensionStartAge), IF(Assumptions_DbPensionIndexed=1, Assumptions_DbPensionAnnual*D29, Assumptions_DbPensionAnnual), 0)</f>
      </c>
      <c r="I29" s="14">
        <f>IF(AND(A29&gt;=72,AL28&gt;0), VLOOKUP(MIN(A29,95),RrifRates,2,TRUE)*AL28, 0)</f>
      </c>
      <c r="J29" s="14">
        <f>IF(AND(Assumptions_MeltdownEnabled=1,A29&gt;=Assumptions_MeltdownStartAge,A29&lt;Assumptions_MeltdownTargetAge), MIN(Assumptions_MeltdownAnnual,AL28), 0)</f>
      </c>
      <c r="K29" s="14">
        <f>MIN(MAX(I29,J29),AL28)</f>
      </c>
      <c r="L29" s="14">
        <f>E29+F29+G29+H29+K29</f>
      </c>
      <c r="M29" s="14">
        <f>IF(C29=1, Assumptions_MonthlyExpenses*12*(1-Assumptions_ExpenseReduction), Assumptions_MonthlyExpenses*12)*D29</f>
      </c>
      <c r="N29" s="14">
        <f>IF(AND(AP28&gt;0, (A29-Assumptions_CurrentAge)&lt;Assumptions_MortgageYears), IF(Assumptions_MortgageRate=0, AP28/MAX(1,Assumptions_MortgageYears-(A29-Assumptions_CurrentAge)), AP28*Assumptions_MortgageRate*(1+Assumptions_MortgageRate)^MAX(1,Assumptions_MortgageYears-(A29-Assumptions_CurrentAge))/((1+Assumptions_MortgageRate)^MAX(1,Assumptions_MortgageYears-(A29-Assumptions_CurrentAge))-1)), 0)</f>
      </c>
      <c r="O29" s="14">
        <f>IF(AND(Assumptions_ConsumerDebt&gt;0, A29&lt;Assumptions_ConsumerPayoffAge), IF(Assumptions_ConsumerDebtRate=0, Assumptions_ConsumerDebt/MAX(1,Assumptions_ConsumerPayoffAge-Assumptions_CurrentAge-(A29-Assumptions_CurrentAge)), Assumptions_ConsumerDebt*Assumptions_ConsumerDebtRate*(1+Assumptions_ConsumerDebtRate)^MAX(1,Assumptions_ConsumerPayoffAge-Assumptions_CurrentAge-(A29-Assumptions_CurrentAge))/((1+Assumptions_ConsumerDebtRate)^MAX(1,Assumptions_ConsumerPayoffAge-Assumptions_CurrentAge-(A29-Assumptions_CurrentAge))-1)), 0)+IF(AND(Assumptions_OtherDebt&gt;0, A29&lt;Assumptions_OtherPayoffAge), IF(Assumptions_OtherDebtRate=0, Assumptions_OtherDebt/MAX(1,Assumptions_OtherPayoffAge-Assumptions_CurrentAge-(A29-Assumptions_CurrentAge)), Assumptions_OtherDebt*Assumptions_OtherDebtRate*(1+Assumptions_OtherDebtRate)^MAX(1,Assumptions_OtherPayoffAge-Assumptions_CurrentAge-(A29-Assumptions_CurrentAge))/((1+Assumptions_OtherDebtRate)^MAX(1,Assumptions_OtherPayoffAge-Assumptions_CurrentAge-(A29-Assumptions_CurrentAge))-1)), 0)</f>
      </c>
      <c r="P29" s="14">
        <f>M29+N29+O29</f>
      </c>
      <c r="Q29" s="14">
        <f>IF(L29&lt;=0, 0, MAX(0, SUMPRODUCT(MAX(MIN(L29,FedBracketMax)-FedBracketMin,0)*FedBracketRate) - (FedBasicPersonal + IF(A29&gt;=65, MAX(0, FedAgeAmount - MAX(0, L29-FedAgeThreshold)*FedAgeClawRate), 0) + IF(OR(H29&gt;0, I29&gt;0), FedPensionCredit, 0)) * FedCreditRate))</f>
      </c>
      <c r="R29" s="14">
        <f>L29-Q29</f>
      </c>
      <c r="S29" s="14">
        <f>MAX(0,P29-R29)</f>
      </c>
      <c r="T29" s="14">
        <f>MIN(S29,AM28)</f>
      </c>
      <c r="U29" s="14">
        <f>MAX(0,S29-T29)</f>
      </c>
      <c r="V29" s="14">
        <f>MIN(U29,AN28)</f>
      </c>
      <c r="W29" s="14">
        <f>MAX(0,U29-V29)</f>
      </c>
      <c r="X29" s="16">
        <f>INDEX(FedBracketRate,MATCH(L29,FedBracketMin,1))+INDEX(ProvBracketRate,MATCH(L29,ProvBracketMin,1))</f>
      </c>
      <c r="Y29" s="14">
        <f>IF(W29&gt;0, MIN(IF(X29&gt;=1, W29, W29/(1-X29)), MAX(0,AL28-K29)), 0)</f>
      </c>
      <c r="Z29" s="14">
        <f>K29+Y29</f>
      </c>
      <c r="AA29" s="14">
        <f>IF(W29&gt;Y29*(1-X29), MIN(MAX(0,W29-Y29*(1-X29)),AO28), 0)</f>
      </c>
      <c r="AB29" s="14">
        <f>MIN(Assumptions_OasMaxAnnual, MAX(0,(E29+F29+G29+H29+Z29-Assumptions_OasClawbackThresh)*Assumptions_OasClawbackRate))</f>
      </c>
      <c r="AC29" s="14">
        <f>MAX(0,G29-AB29)</f>
      </c>
      <c r="AD29" s="14">
        <f>V29*IF(AN28&gt;0, MAX(0,1-AS28/AN28), 0)*Assumptions_CapGainsRate</f>
      </c>
      <c r="AE29" s="14">
        <f>E29+F29+AC29+H29+Z29+AD29</f>
      </c>
      <c r="AF29" s="14">
        <f>MAX(0, SUMPRODUCT(MAX(MIN(AE29,FedBracketMax)-FedBracketMin,0)*FedBracketRate) - (FedBasicPersonal + IF(A29&gt;=65, MAX(0, FedAgeAmount - MAX(0, AE29-FedAgeThreshold)*FedAgeClawRate), 0) + IF(OR(H29&gt;0, I29&gt;0), FedPensionCredit, 0)) * FedCreditRate)</f>
      </c>
      <c r="AG29" s="14">
        <f>MAX(0, SUMPRODUCT(MAX(MIN(AE29,ProvBracketMax)-ProvBracketMin,0)*ProvBracketRate) - (ProvBasicPersonal + IF(A29&gt;=65, MAX(0, ProvAgeAmount - MAX(0, AE29-ProvAgeThreshold)*ProvAgeClawRate), 0) + IF(OR(H29&gt;0, I29&gt;0), ProvPensionCredit, 0)) * ProvCreditRate) + MAX(0, (MAX(0, SUMPRODUCT(MAX(MIN(AE29,ProvBracketMax)-ProvBracketMin,0)*ProvBracketRate) - (ProvBasicPersonal + IF(A29&gt;=65, MAX(0, ProvAgeAmount - MAX(0, AE29-ProvAgeThreshold)*ProvAgeClawRate), 0) + IF(OR(H29&gt;0, I29&gt;0), ProvPensionCredit, 0)) * ProvCreditRate)-SurtaxThreshold1)*SurtaxRate1) + MAX(0, (MAX(0, SUMPRODUCT(MAX(MIN(AE29,ProvBracketMax)-ProvBracketMin,0)*ProvBracketRate) - (ProvBasicPersonal + IF(A29&gt;=65, MAX(0, ProvAgeAmount - MAX(0, AE29-ProvAgeThreshold)*ProvAgeClawRate), 0) + IF(OR(H29&gt;0, I29&gt;0), ProvPensionCredit, 0)) * ProvCreditRate)-SurtaxThreshold2)*SurtaxRate2)</f>
      </c>
      <c r="AH29" s="14">
        <f>AF29+AG29</f>
      </c>
      <c r="AI29" s="14">
        <f>E29+F29+AC29+H29+Z29+T29+V29+AA29-AH29</f>
      </c>
      <c r="AJ29" s="14">
        <f>AI29-M29-N29-O29</f>
      </c>
      <c r="AK29" s="14">
        <f>IF(AJ29&gt;0, MIN(AJ29, Assumptions_TfsaAnnualLimit), 0)</f>
      </c>
      <c r="AL29" s="14">
        <f>MAX(0,AL28-Z29)*(1+Assumptions_RealReturn)</f>
      </c>
      <c r="AM29" s="14">
        <f>MAX(0,AM28-T29+AK29)*(1+Assumptions_TfsaReturn)</f>
      </c>
      <c r="AN29" s="14">
        <f>MAX(0,AN28-V29+MAX(0,AJ29-AK29))*(1+Assumptions_NonRegReturn)</f>
      </c>
      <c r="AO29" s="14">
        <f>MAX(0,AO28-AA29)*(1+Assumptions_RealReturn)</f>
      </c>
      <c r="AP29" s="14">
        <f>IF(N29&gt;0, MAX(0, AP28*(1+Assumptions_MortgageRate)-N29), 0)</f>
      </c>
      <c r="AQ29" s="14">
        <f>AL29+AM29+AN29+AO29</f>
      </c>
      <c r="AR29" s="14">
        <f>AQ29+Assumptions_RealEstateValue-AP29</f>
      </c>
      <c r="AS29" s="14">
        <f>MAX(0,AS28*MAX(0,AN28-V29)/IF(AN28&gt;0,AN28,1))+MAX(0,AJ29-AK29)</f>
      </c>
    </row>
    <row r="30" spans="1:45" x14ac:dyDescent="0.25">
      <c r="A30" s="15">
        <f>A29+1</f>
      </c>
      <c r="B30" s="15">
        <f>2026+(A30-Assumptions_CurrentAge)</f>
      </c>
      <c r="C30" s="15">
        <f>IF(A30&gt;=Assumptions_RetirementAge,1,0)</f>
      </c>
      <c r="D30" s="17">
        <f>(1+Assumptions_Inflation)^(A30-Assumptions_CurrentAge)</f>
      </c>
      <c r="E30" s="14">
        <f>IF(AND(C30=0,Assumptions_StillWorking=1),Assumptions_EmploymentIncome*D30,0)</f>
      </c>
      <c r="F30" s="14">
        <f>IF(A30&gt;=Assumptions_CppStartAge, Assumptions_CppMonthly*12*IF((Assumptions_CppStartAge-65)*12&lt;0, 1+(Assumptions_CppStartAge-65)*12*CppEarlyReduction, 1+(Assumptions_CppStartAge-65)*12*CppLateIncrease)*D30, 0)</f>
      </c>
      <c r="G30" s="14">
        <f>IF(A30&gt;=Assumptions_OasStartAge, Assumptions_OasMonthly*12*(1+MAX(0, MIN(Assumptions_OasStartAge, OasMaxDeferAge)-OasStdStartAge)*12*OasDeferralBonus)*D30, 0)</f>
      </c>
      <c r="H30" s="14">
        <f>IF(AND(Assumptions_PensionType="db",A30&gt;=Assumptions_DbPensionStartAge), IF(Assumptions_DbPensionIndexed=1, Assumptions_DbPensionAnnual*D30, Assumptions_DbPensionAnnual), 0)</f>
      </c>
      <c r="I30" s="14">
        <f>IF(AND(A30&gt;=72,AL29&gt;0), VLOOKUP(MIN(A30,95),RrifRates,2,TRUE)*AL29, 0)</f>
      </c>
      <c r="J30" s="14">
        <f>IF(AND(Assumptions_MeltdownEnabled=1,A30&gt;=Assumptions_MeltdownStartAge,A30&lt;Assumptions_MeltdownTargetAge), MIN(Assumptions_MeltdownAnnual,AL29), 0)</f>
      </c>
      <c r="K30" s="14">
        <f>MIN(MAX(I30,J30),AL29)</f>
      </c>
      <c r="L30" s="14">
        <f>E30+F30+G30+H30+K30</f>
      </c>
      <c r="M30" s="14">
        <f>IF(C30=1, Assumptions_MonthlyExpenses*12*(1-Assumptions_ExpenseReduction), Assumptions_MonthlyExpenses*12)*D30</f>
      </c>
      <c r="N30" s="14">
        <f>IF(AND(AP29&gt;0, (A30-Assumptions_CurrentAge)&lt;Assumptions_MortgageYears), IF(Assumptions_MortgageRate=0, AP29/MAX(1,Assumptions_MortgageYears-(A30-Assumptions_CurrentAge)), AP29*Assumptions_MortgageRate*(1+Assumptions_MortgageRate)^MAX(1,Assumptions_MortgageYears-(A30-Assumptions_CurrentAge))/((1+Assumptions_MortgageRate)^MAX(1,Assumptions_MortgageYears-(A30-Assumptions_CurrentAge))-1)), 0)</f>
      </c>
      <c r="O30" s="14">
        <f>IF(AND(Assumptions_ConsumerDebt&gt;0, A30&lt;Assumptions_ConsumerPayoffAge), IF(Assumptions_ConsumerDebtRate=0, Assumptions_ConsumerDebt/MAX(1,Assumptions_ConsumerPayoffAge-Assumptions_CurrentAge-(A30-Assumptions_CurrentAge)), Assumptions_ConsumerDebt*Assumptions_ConsumerDebtRate*(1+Assumptions_ConsumerDebtRate)^MAX(1,Assumptions_ConsumerPayoffAge-Assumptions_CurrentAge-(A30-Assumptions_CurrentAge))/((1+Assumptions_ConsumerDebtRate)^MAX(1,Assumptions_ConsumerPayoffAge-Assumptions_CurrentAge-(A30-Assumptions_CurrentAge))-1)), 0)+IF(AND(Assumptions_OtherDebt&gt;0, A30&lt;Assumptions_OtherPayoffAge), IF(Assumptions_OtherDebtRate=0, Assumptions_OtherDebt/MAX(1,Assumptions_OtherPayoffAge-Assumptions_CurrentAge-(A30-Assumptions_CurrentAge)), Assumptions_OtherDebt*Assumptions_OtherDebtRate*(1+Assumptions_OtherDebtRate)^MAX(1,Assumptions_OtherPayoffAge-Assumptions_CurrentAge-(A30-Assumptions_CurrentAge))/((1+Assumptions_OtherDebtRate)^MAX(1,Assumptions_OtherPayoffAge-Assumptions_CurrentAge-(A30-Assumptions_CurrentAge))-1)), 0)</f>
      </c>
      <c r="P30" s="14">
        <f>M30+N30+O30</f>
      </c>
      <c r="Q30" s="14">
        <f>IF(L30&lt;=0, 0, MAX(0, SUMPRODUCT(MAX(MIN(L30,FedBracketMax)-FedBracketMin,0)*FedBracketRate) - (FedBasicPersonal + IF(A30&gt;=65, MAX(0, FedAgeAmount - MAX(0, L30-FedAgeThreshold)*FedAgeClawRate), 0) + IF(OR(H30&gt;0, I30&gt;0), FedPensionCredit, 0)) * FedCreditRate))</f>
      </c>
      <c r="R30" s="14">
        <f>L30-Q30</f>
      </c>
      <c r="S30" s="14">
        <f>MAX(0,P30-R30)</f>
      </c>
      <c r="T30" s="14">
        <f>MIN(S30,AM29)</f>
      </c>
      <c r="U30" s="14">
        <f>MAX(0,S30-T30)</f>
      </c>
      <c r="V30" s="14">
        <f>MIN(U30,AN29)</f>
      </c>
      <c r="W30" s="14">
        <f>MAX(0,U30-V30)</f>
      </c>
      <c r="X30" s="16">
        <f>INDEX(FedBracketRate,MATCH(L30,FedBracketMin,1))+INDEX(ProvBracketRate,MATCH(L30,ProvBracketMin,1))</f>
      </c>
      <c r="Y30" s="14">
        <f>IF(W30&gt;0, MIN(IF(X30&gt;=1, W30, W30/(1-X30)), MAX(0,AL29-K30)), 0)</f>
      </c>
      <c r="Z30" s="14">
        <f>K30+Y30</f>
      </c>
      <c r="AA30" s="14">
        <f>IF(W30&gt;Y30*(1-X30), MIN(MAX(0,W30-Y30*(1-X30)),AO29), 0)</f>
      </c>
      <c r="AB30" s="14">
        <f>MIN(Assumptions_OasMaxAnnual, MAX(0,(E30+F30+G30+H30+Z30-Assumptions_OasClawbackThresh)*Assumptions_OasClawbackRate))</f>
      </c>
      <c r="AC30" s="14">
        <f>MAX(0,G30-AB30)</f>
      </c>
      <c r="AD30" s="14">
        <f>V30*IF(AN29&gt;0, MAX(0,1-AS29/AN29), 0)*Assumptions_CapGainsRate</f>
      </c>
      <c r="AE30" s="14">
        <f>E30+F30+AC30+H30+Z30+AD30</f>
      </c>
      <c r="AF30" s="14">
        <f>MAX(0, SUMPRODUCT(MAX(MIN(AE30,FedBracketMax)-FedBracketMin,0)*FedBracketRate) - (FedBasicPersonal + IF(A30&gt;=65, MAX(0, FedAgeAmount - MAX(0, AE30-FedAgeThreshold)*FedAgeClawRate), 0) + IF(OR(H30&gt;0, I30&gt;0), FedPensionCredit, 0)) * FedCreditRate)</f>
      </c>
      <c r="AG30" s="14">
        <f>MAX(0, SUMPRODUCT(MAX(MIN(AE30,ProvBracketMax)-ProvBracketMin,0)*ProvBracketRate) - (ProvBasicPersonal + IF(A30&gt;=65, MAX(0, ProvAgeAmount - MAX(0, AE30-ProvAgeThreshold)*ProvAgeClawRate), 0) + IF(OR(H30&gt;0, I30&gt;0), ProvPensionCredit, 0)) * ProvCreditRate) + MAX(0, (MAX(0, SUMPRODUCT(MAX(MIN(AE30,ProvBracketMax)-ProvBracketMin,0)*ProvBracketRate) - (ProvBasicPersonal + IF(A30&gt;=65, MAX(0, ProvAgeAmount - MAX(0, AE30-ProvAgeThreshold)*ProvAgeClawRate), 0) + IF(OR(H30&gt;0, I30&gt;0), ProvPensionCredit, 0)) * ProvCreditRate)-SurtaxThreshold1)*SurtaxRate1) + MAX(0, (MAX(0, SUMPRODUCT(MAX(MIN(AE30,ProvBracketMax)-ProvBracketMin,0)*ProvBracketRate) - (ProvBasicPersonal + IF(A30&gt;=65, MAX(0, ProvAgeAmount - MAX(0, AE30-ProvAgeThreshold)*ProvAgeClawRate), 0) + IF(OR(H30&gt;0, I30&gt;0), ProvPensionCredit, 0)) * ProvCreditRate)-SurtaxThreshold2)*SurtaxRate2)</f>
      </c>
      <c r="AH30" s="14">
        <f>AF30+AG30</f>
      </c>
      <c r="AI30" s="14">
        <f>E30+F30+AC30+H30+Z30+T30+V30+AA30-AH30</f>
      </c>
      <c r="AJ30" s="14">
        <f>AI30-M30-N30-O30</f>
      </c>
      <c r="AK30" s="14">
        <f>IF(AJ30&gt;0, MIN(AJ30, Assumptions_TfsaAnnualLimit), 0)</f>
      </c>
      <c r="AL30" s="14">
        <f>MAX(0,AL29-Z30)*(1+Assumptions_RealReturn)</f>
      </c>
      <c r="AM30" s="14">
        <f>MAX(0,AM29-T30+AK30)*(1+Assumptions_TfsaReturn)</f>
      </c>
      <c r="AN30" s="14">
        <f>MAX(0,AN29-V30+MAX(0,AJ30-AK30))*(1+Assumptions_NonRegReturn)</f>
      </c>
      <c r="AO30" s="14">
        <f>MAX(0,AO29-AA30)*(1+Assumptions_RealReturn)</f>
      </c>
      <c r="AP30" s="14">
        <f>IF(N30&gt;0, MAX(0, AP29*(1+Assumptions_MortgageRate)-N30), 0)</f>
      </c>
      <c r="AQ30" s="14">
        <f>AL30+AM30+AN30+AO30</f>
      </c>
      <c r="AR30" s="14">
        <f>AQ30+Assumptions_RealEstateValue-AP30</f>
      </c>
      <c r="AS30" s="14">
        <f>MAX(0,AS29*MAX(0,AN29-V30)/IF(AN29&gt;0,AN29,1))+MAX(0,AJ30-AK30)</f>
      </c>
    </row>
    <row r="31" spans="1:45" x14ac:dyDescent="0.25">
      <c r="A31" s="15">
        <f>A30+1</f>
      </c>
      <c r="B31" s="15">
        <f>2026+(A31-Assumptions_CurrentAge)</f>
      </c>
      <c r="C31" s="15">
        <f>IF(A31&gt;=Assumptions_RetirementAge,1,0)</f>
      </c>
      <c r="D31" s="17">
        <f>(1+Assumptions_Inflation)^(A31-Assumptions_CurrentAge)</f>
      </c>
      <c r="E31" s="14">
        <f>IF(AND(C31=0,Assumptions_StillWorking=1),Assumptions_EmploymentIncome*D31,0)</f>
      </c>
      <c r="F31" s="14">
        <f>IF(A31&gt;=Assumptions_CppStartAge, Assumptions_CppMonthly*12*IF((Assumptions_CppStartAge-65)*12&lt;0, 1+(Assumptions_CppStartAge-65)*12*CppEarlyReduction, 1+(Assumptions_CppStartAge-65)*12*CppLateIncrease)*D31, 0)</f>
      </c>
      <c r="G31" s="14">
        <f>IF(A31&gt;=Assumptions_OasStartAge, Assumptions_OasMonthly*12*(1+MAX(0, MIN(Assumptions_OasStartAge, OasMaxDeferAge)-OasStdStartAge)*12*OasDeferralBonus)*D31, 0)</f>
      </c>
      <c r="H31" s="14">
        <f>IF(AND(Assumptions_PensionType="db",A31&gt;=Assumptions_DbPensionStartAge), IF(Assumptions_DbPensionIndexed=1, Assumptions_DbPensionAnnual*D31, Assumptions_DbPensionAnnual), 0)</f>
      </c>
      <c r="I31" s="14">
        <f>IF(AND(A31&gt;=72,AL30&gt;0), VLOOKUP(MIN(A31,95),RrifRates,2,TRUE)*AL30, 0)</f>
      </c>
      <c r="J31" s="14">
        <f>IF(AND(Assumptions_MeltdownEnabled=1,A31&gt;=Assumptions_MeltdownStartAge,A31&lt;Assumptions_MeltdownTargetAge), MIN(Assumptions_MeltdownAnnual,AL30), 0)</f>
      </c>
      <c r="K31" s="14">
        <f>MIN(MAX(I31,J31),AL30)</f>
      </c>
      <c r="L31" s="14">
        <f>E31+F31+G31+H31+K31</f>
      </c>
      <c r="M31" s="14">
        <f>IF(C31=1, Assumptions_MonthlyExpenses*12*(1-Assumptions_ExpenseReduction), Assumptions_MonthlyExpenses*12)*D31</f>
      </c>
      <c r="N31" s="14">
        <f>IF(AND(AP30&gt;0, (A31-Assumptions_CurrentAge)&lt;Assumptions_MortgageYears), IF(Assumptions_MortgageRate=0, AP30/MAX(1,Assumptions_MortgageYears-(A31-Assumptions_CurrentAge)), AP30*Assumptions_MortgageRate*(1+Assumptions_MortgageRate)^MAX(1,Assumptions_MortgageYears-(A31-Assumptions_CurrentAge))/((1+Assumptions_MortgageRate)^MAX(1,Assumptions_MortgageYears-(A31-Assumptions_CurrentAge))-1)), 0)</f>
      </c>
      <c r="O31" s="14">
        <f>IF(AND(Assumptions_ConsumerDebt&gt;0, A31&lt;Assumptions_ConsumerPayoffAge), IF(Assumptions_ConsumerDebtRate=0, Assumptions_ConsumerDebt/MAX(1,Assumptions_ConsumerPayoffAge-Assumptions_CurrentAge-(A31-Assumptions_CurrentAge)), Assumptions_ConsumerDebt*Assumptions_ConsumerDebtRate*(1+Assumptions_ConsumerDebtRate)^MAX(1,Assumptions_ConsumerPayoffAge-Assumptions_CurrentAge-(A31-Assumptions_CurrentAge))/((1+Assumptions_ConsumerDebtRate)^MAX(1,Assumptions_ConsumerPayoffAge-Assumptions_CurrentAge-(A31-Assumptions_CurrentAge))-1)), 0)+IF(AND(Assumptions_OtherDebt&gt;0, A31&lt;Assumptions_OtherPayoffAge), IF(Assumptions_OtherDebtRate=0, Assumptions_OtherDebt/MAX(1,Assumptions_OtherPayoffAge-Assumptions_CurrentAge-(A31-Assumptions_CurrentAge)), Assumptions_OtherDebt*Assumptions_OtherDebtRate*(1+Assumptions_OtherDebtRate)^MAX(1,Assumptions_OtherPayoffAge-Assumptions_CurrentAge-(A31-Assumptions_CurrentAge))/((1+Assumptions_OtherDebtRate)^MAX(1,Assumptions_OtherPayoffAge-Assumptions_CurrentAge-(A31-Assumptions_CurrentAge))-1)), 0)</f>
      </c>
      <c r="P31" s="14">
        <f>M31+N31+O31</f>
      </c>
      <c r="Q31" s="14">
        <f>IF(L31&lt;=0, 0, MAX(0, SUMPRODUCT(MAX(MIN(L31,FedBracketMax)-FedBracketMin,0)*FedBracketRate) - (FedBasicPersonal + IF(A31&gt;=65, MAX(0, FedAgeAmount - MAX(0, L31-FedAgeThreshold)*FedAgeClawRate), 0) + IF(OR(H31&gt;0, I31&gt;0), FedPensionCredit, 0)) * FedCreditRate))</f>
      </c>
      <c r="R31" s="14">
        <f>L31-Q31</f>
      </c>
      <c r="S31" s="14">
        <f>MAX(0,P31-R31)</f>
      </c>
      <c r="T31" s="14">
        <f>MIN(S31,AM30)</f>
      </c>
      <c r="U31" s="14">
        <f>MAX(0,S31-T31)</f>
      </c>
      <c r="V31" s="14">
        <f>MIN(U31,AN30)</f>
      </c>
      <c r="W31" s="14">
        <f>MAX(0,U31-V31)</f>
      </c>
      <c r="X31" s="16">
        <f>INDEX(FedBracketRate,MATCH(L31,FedBracketMin,1))+INDEX(ProvBracketRate,MATCH(L31,ProvBracketMin,1))</f>
      </c>
      <c r="Y31" s="14">
        <f>IF(W31&gt;0, MIN(IF(X31&gt;=1, W31, W31/(1-X31)), MAX(0,AL30-K31)), 0)</f>
      </c>
      <c r="Z31" s="14">
        <f>K31+Y31</f>
      </c>
      <c r="AA31" s="14">
        <f>IF(W31&gt;Y31*(1-X31), MIN(MAX(0,W31-Y31*(1-X31)),AO30), 0)</f>
      </c>
      <c r="AB31" s="14">
        <f>MIN(Assumptions_OasMaxAnnual, MAX(0,(E31+F31+G31+H31+Z31-Assumptions_OasClawbackThresh)*Assumptions_OasClawbackRate))</f>
      </c>
      <c r="AC31" s="14">
        <f>MAX(0,G31-AB31)</f>
      </c>
      <c r="AD31" s="14">
        <f>V31*IF(AN30&gt;0, MAX(0,1-AS30/AN30), 0)*Assumptions_CapGainsRate</f>
      </c>
      <c r="AE31" s="14">
        <f>E31+F31+AC31+H31+Z31+AD31</f>
      </c>
      <c r="AF31" s="14">
        <f>MAX(0, SUMPRODUCT(MAX(MIN(AE31,FedBracketMax)-FedBracketMin,0)*FedBracketRate) - (FedBasicPersonal + IF(A31&gt;=65, MAX(0, FedAgeAmount - MAX(0, AE31-FedAgeThreshold)*FedAgeClawRate), 0) + IF(OR(H31&gt;0, I31&gt;0), FedPensionCredit, 0)) * FedCreditRate)</f>
      </c>
      <c r="AG31" s="14">
        <f>MAX(0, SUMPRODUCT(MAX(MIN(AE31,ProvBracketMax)-ProvBracketMin,0)*ProvBracketRate) - (ProvBasicPersonal + IF(A31&gt;=65, MAX(0, ProvAgeAmount - MAX(0, AE31-ProvAgeThreshold)*ProvAgeClawRate), 0) + IF(OR(H31&gt;0, I31&gt;0), ProvPensionCredit, 0)) * ProvCreditRate) + MAX(0, (MAX(0, SUMPRODUCT(MAX(MIN(AE31,ProvBracketMax)-ProvBracketMin,0)*ProvBracketRate) - (ProvBasicPersonal + IF(A31&gt;=65, MAX(0, ProvAgeAmount - MAX(0, AE31-ProvAgeThreshold)*ProvAgeClawRate), 0) + IF(OR(H31&gt;0, I31&gt;0), ProvPensionCredit, 0)) * ProvCreditRate)-SurtaxThreshold1)*SurtaxRate1) + MAX(0, (MAX(0, SUMPRODUCT(MAX(MIN(AE31,ProvBracketMax)-ProvBracketMin,0)*ProvBracketRate) - (ProvBasicPersonal + IF(A31&gt;=65, MAX(0, ProvAgeAmount - MAX(0, AE31-ProvAgeThreshold)*ProvAgeClawRate), 0) + IF(OR(H31&gt;0, I31&gt;0), ProvPensionCredit, 0)) * ProvCreditRate)-SurtaxThreshold2)*SurtaxRate2)</f>
      </c>
      <c r="AH31" s="14">
        <f>AF31+AG31</f>
      </c>
      <c r="AI31" s="14">
        <f>E31+F31+AC31+H31+Z31+T31+V31+AA31-AH31</f>
      </c>
      <c r="AJ31" s="14">
        <f>AI31-M31-N31-O31</f>
      </c>
      <c r="AK31" s="14">
        <f>IF(AJ31&gt;0, MIN(AJ31, Assumptions_TfsaAnnualLimit), 0)</f>
      </c>
      <c r="AL31" s="14">
        <f>MAX(0,AL30-Z31)*(1+Assumptions_RealReturn)</f>
      </c>
      <c r="AM31" s="14">
        <f>MAX(0,AM30-T31+AK31)*(1+Assumptions_TfsaReturn)</f>
      </c>
      <c r="AN31" s="14">
        <f>MAX(0,AN30-V31+MAX(0,AJ31-AK31))*(1+Assumptions_NonRegReturn)</f>
      </c>
      <c r="AO31" s="14">
        <f>MAX(0,AO30-AA31)*(1+Assumptions_RealReturn)</f>
      </c>
      <c r="AP31" s="14">
        <f>IF(N31&gt;0, MAX(0, AP30*(1+Assumptions_MortgageRate)-N31), 0)</f>
      </c>
      <c r="AQ31" s="14">
        <f>AL31+AM31+AN31+AO31</f>
      </c>
      <c r="AR31" s="14">
        <f>AQ31+Assumptions_RealEstateValue-AP31</f>
      </c>
      <c r="AS31" s="14">
        <f>MAX(0,AS30*MAX(0,AN30-V31)/IF(AN30&gt;0,AN30,1))+MAX(0,AJ31-AK31)</f>
      </c>
    </row>
    <row r="32" spans="1:45" x14ac:dyDescent="0.25">
      <c r="A32" s="15">
        <f>A31+1</f>
      </c>
      <c r="B32" s="15">
        <f>2026+(A32-Assumptions_CurrentAge)</f>
      </c>
      <c r="C32" s="15">
        <f>IF(A32&gt;=Assumptions_RetirementAge,1,0)</f>
      </c>
      <c r="D32" s="17">
        <f>(1+Assumptions_Inflation)^(A32-Assumptions_CurrentAge)</f>
      </c>
      <c r="E32" s="14">
        <f>IF(AND(C32=0,Assumptions_StillWorking=1),Assumptions_EmploymentIncome*D32,0)</f>
      </c>
      <c r="F32" s="14">
        <f>IF(A32&gt;=Assumptions_CppStartAge, Assumptions_CppMonthly*12*IF((Assumptions_CppStartAge-65)*12&lt;0, 1+(Assumptions_CppStartAge-65)*12*CppEarlyReduction, 1+(Assumptions_CppStartAge-65)*12*CppLateIncrease)*D32, 0)</f>
      </c>
      <c r="G32" s="14">
        <f>IF(A32&gt;=Assumptions_OasStartAge, Assumptions_OasMonthly*12*(1+MAX(0, MIN(Assumptions_OasStartAge, OasMaxDeferAge)-OasStdStartAge)*12*OasDeferralBonus)*D32, 0)</f>
      </c>
      <c r="H32" s="14">
        <f>IF(AND(Assumptions_PensionType="db",A32&gt;=Assumptions_DbPensionStartAge), IF(Assumptions_DbPensionIndexed=1, Assumptions_DbPensionAnnual*D32, Assumptions_DbPensionAnnual), 0)</f>
      </c>
      <c r="I32" s="14">
        <f>IF(AND(A32&gt;=72,AL31&gt;0), VLOOKUP(MIN(A32,95),RrifRates,2,TRUE)*AL31, 0)</f>
      </c>
      <c r="J32" s="14">
        <f>IF(AND(Assumptions_MeltdownEnabled=1,A32&gt;=Assumptions_MeltdownStartAge,A32&lt;Assumptions_MeltdownTargetAge), MIN(Assumptions_MeltdownAnnual,AL31), 0)</f>
      </c>
      <c r="K32" s="14">
        <f>MIN(MAX(I32,J32),AL31)</f>
      </c>
      <c r="L32" s="14">
        <f>E32+F32+G32+H32+K32</f>
      </c>
      <c r="M32" s="14">
        <f>IF(C32=1, Assumptions_MonthlyExpenses*12*(1-Assumptions_ExpenseReduction), Assumptions_MonthlyExpenses*12)*D32</f>
      </c>
      <c r="N32" s="14">
        <f>IF(AND(AP31&gt;0, (A32-Assumptions_CurrentAge)&lt;Assumptions_MortgageYears), IF(Assumptions_MortgageRate=0, AP31/MAX(1,Assumptions_MortgageYears-(A32-Assumptions_CurrentAge)), AP31*Assumptions_MortgageRate*(1+Assumptions_MortgageRate)^MAX(1,Assumptions_MortgageYears-(A32-Assumptions_CurrentAge))/((1+Assumptions_MortgageRate)^MAX(1,Assumptions_MortgageYears-(A32-Assumptions_CurrentAge))-1)), 0)</f>
      </c>
      <c r="O32" s="14">
        <f>IF(AND(Assumptions_ConsumerDebt&gt;0, A32&lt;Assumptions_ConsumerPayoffAge), IF(Assumptions_ConsumerDebtRate=0, Assumptions_ConsumerDebt/MAX(1,Assumptions_ConsumerPayoffAge-Assumptions_CurrentAge-(A32-Assumptions_CurrentAge)), Assumptions_ConsumerDebt*Assumptions_ConsumerDebtRate*(1+Assumptions_ConsumerDebtRate)^MAX(1,Assumptions_ConsumerPayoffAge-Assumptions_CurrentAge-(A32-Assumptions_CurrentAge))/((1+Assumptions_ConsumerDebtRate)^MAX(1,Assumptions_ConsumerPayoffAge-Assumptions_CurrentAge-(A32-Assumptions_CurrentAge))-1)), 0)+IF(AND(Assumptions_OtherDebt&gt;0, A32&lt;Assumptions_OtherPayoffAge), IF(Assumptions_OtherDebtRate=0, Assumptions_OtherDebt/MAX(1,Assumptions_OtherPayoffAge-Assumptions_CurrentAge-(A32-Assumptions_CurrentAge)), Assumptions_OtherDebt*Assumptions_OtherDebtRate*(1+Assumptions_OtherDebtRate)^MAX(1,Assumptions_OtherPayoffAge-Assumptions_CurrentAge-(A32-Assumptions_CurrentAge))/((1+Assumptions_OtherDebtRate)^MAX(1,Assumptions_OtherPayoffAge-Assumptions_CurrentAge-(A32-Assumptions_CurrentAge))-1)), 0)</f>
      </c>
      <c r="P32" s="14">
        <f>M32+N32+O32</f>
      </c>
      <c r="Q32" s="14">
        <f>IF(L32&lt;=0, 0, MAX(0, SUMPRODUCT(MAX(MIN(L32,FedBracketMax)-FedBracketMin,0)*FedBracketRate) - (FedBasicPersonal + IF(A32&gt;=65, MAX(0, FedAgeAmount - MAX(0, L32-FedAgeThreshold)*FedAgeClawRate), 0) + IF(OR(H32&gt;0, I32&gt;0), FedPensionCredit, 0)) * FedCreditRate))</f>
      </c>
      <c r="R32" s="14">
        <f>L32-Q32</f>
      </c>
      <c r="S32" s="14">
        <f>MAX(0,P32-R32)</f>
      </c>
      <c r="T32" s="14">
        <f>MIN(S32,AM31)</f>
      </c>
      <c r="U32" s="14">
        <f>MAX(0,S32-T32)</f>
      </c>
      <c r="V32" s="14">
        <f>MIN(U32,AN31)</f>
      </c>
      <c r="W32" s="14">
        <f>MAX(0,U32-V32)</f>
      </c>
      <c r="X32" s="16">
        <f>INDEX(FedBracketRate,MATCH(L32,FedBracketMin,1))+INDEX(ProvBracketRate,MATCH(L32,ProvBracketMin,1))</f>
      </c>
      <c r="Y32" s="14">
        <f>IF(W32&gt;0, MIN(IF(X32&gt;=1, W32, W32/(1-X32)), MAX(0,AL31-K32)), 0)</f>
      </c>
      <c r="Z32" s="14">
        <f>K32+Y32</f>
      </c>
      <c r="AA32" s="14">
        <f>IF(W32&gt;Y32*(1-X32), MIN(MAX(0,W32-Y32*(1-X32)),AO31), 0)</f>
      </c>
      <c r="AB32" s="14">
        <f>MIN(Assumptions_OasMaxAnnual, MAX(0,(E32+F32+G32+H32+Z32-Assumptions_OasClawbackThresh)*Assumptions_OasClawbackRate))</f>
      </c>
      <c r="AC32" s="14">
        <f>MAX(0,G32-AB32)</f>
      </c>
      <c r="AD32" s="14">
        <f>V32*IF(AN31&gt;0, MAX(0,1-AS31/AN31), 0)*Assumptions_CapGainsRate</f>
      </c>
      <c r="AE32" s="14">
        <f>E32+F32+AC32+H32+Z32+AD32</f>
      </c>
      <c r="AF32" s="14">
        <f>MAX(0, SUMPRODUCT(MAX(MIN(AE32,FedBracketMax)-FedBracketMin,0)*FedBracketRate) - (FedBasicPersonal + IF(A32&gt;=65, MAX(0, FedAgeAmount - MAX(0, AE32-FedAgeThreshold)*FedAgeClawRate), 0) + IF(OR(H32&gt;0, I32&gt;0), FedPensionCredit, 0)) * FedCreditRate)</f>
      </c>
      <c r="AG32" s="14">
        <f>MAX(0, SUMPRODUCT(MAX(MIN(AE32,ProvBracketMax)-ProvBracketMin,0)*ProvBracketRate) - (ProvBasicPersonal + IF(A32&gt;=65, MAX(0, ProvAgeAmount - MAX(0, AE32-ProvAgeThreshold)*ProvAgeClawRate), 0) + IF(OR(H32&gt;0, I32&gt;0), ProvPensionCredit, 0)) * ProvCreditRate) + MAX(0, (MAX(0, SUMPRODUCT(MAX(MIN(AE32,ProvBracketMax)-ProvBracketMin,0)*ProvBracketRate) - (ProvBasicPersonal + IF(A32&gt;=65, MAX(0, ProvAgeAmount - MAX(0, AE32-ProvAgeThreshold)*ProvAgeClawRate), 0) + IF(OR(H32&gt;0, I32&gt;0), ProvPensionCredit, 0)) * ProvCreditRate)-SurtaxThreshold1)*SurtaxRate1) + MAX(0, (MAX(0, SUMPRODUCT(MAX(MIN(AE32,ProvBracketMax)-ProvBracketMin,0)*ProvBracketRate) - (ProvBasicPersonal + IF(A32&gt;=65, MAX(0, ProvAgeAmount - MAX(0, AE32-ProvAgeThreshold)*ProvAgeClawRate), 0) + IF(OR(H32&gt;0, I32&gt;0), ProvPensionCredit, 0)) * ProvCreditRate)-SurtaxThreshold2)*SurtaxRate2)</f>
      </c>
      <c r="AH32" s="14">
        <f>AF32+AG32</f>
      </c>
      <c r="AI32" s="14">
        <f>E32+F32+AC32+H32+Z32+T32+V32+AA32-AH32</f>
      </c>
      <c r="AJ32" s="14">
        <f>AI32-M32-N32-O32</f>
      </c>
      <c r="AK32" s="14">
        <f>IF(AJ32&gt;0, MIN(AJ32, Assumptions_TfsaAnnualLimit), 0)</f>
      </c>
      <c r="AL32" s="14">
        <f>MAX(0,AL31-Z32)*(1+Assumptions_RealReturn)</f>
      </c>
      <c r="AM32" s="14">
        <f>MAX(0,AM31-T32+AK32)*(1+Assumptions_TfsaReturn)</f>
      </c>
      <c r="AN32" s="14">
        <f>MAX(0,AN31-V32+MAX(0,AJ32-AK32))*(1+Assumptions_NonRegReturn)</f>
      </c>
      <c r="AO32" s="14">
        <f>MAX(0,AO31-AA32)*(1+Assumptions_RealReturn)</f>
      </c>
      <c r="AP32" s="14">
        <f>IF(N32&gt;0, MAX(0, AP31*(1+Assumptions_MortgageRate)-N32), 0)</f>
      </c>
      <c r="AQ32" s="14">
        <f>AL32+AM32+AN32+AO32</f>
      </c>
      <c r="AR32" s="14">
        <f>AQ32+Assumptions_RealEstateValue-AP32</f>
      </c>
      <c r="AS32" s="14">
        <f>MAX(0,AS31*MAX(0,AN31-V32)/IF(AN31&gt;0,AN31,1))+MAX(0,AJ32-AK32)</f>
      </c>
    </row>
    <row r="33" spans="1:45" x14ac:dyDescent="0.25">
      <c r="A33" s="15">
        <f>A32+1</f>
      </c>
      <c r="B33" s="15">
        <f>2026+(A33-Assumptions_CurrentAge)</f>
      </c>
      <c r="C33" s="15">
        <f>IF(A33&gt;=Assumptions_RetirementAge,1,0)</f>
      </c>
      <c r="D33" s="17">
        <f>(1+Assumptions_Inflation)^(A33-Assumptions_CurrentAge)</f>
      </c>
      <c r="E33" s="14">
        <f>IF(AND(C33=0,Assumptions_StillWorking=1),Assumptions_EmploymentIncome*D33,0)</f>
      </c>
      <c r="F33" s="14">
        <f>IF(A33&gt;=Assumptions_CppStartAge, Assumptions_CppMonthly*12*IF((Assumptions_CppStartAge-65)*12&lt;0, 1+(Assumptions_CppStartAge-65)*12*CppEarlyReduction, 1+(Assumptions_CppStartAge-65)*12*CppLateIncrease)*D33, 0)</f>
      </c>
      <c r="G33" s="14">
        <f>IF(A33&gt;=Assumptions_OasStartAge, Assumptions_OasMonthly*12*(1+MAX(0, MIN(Assumptions_OasStartAge, OasMaxDeferAge)-OasStdStartAge)*12*OasDeferralBonus)*D33, 0)</f>
      </c>
      <c r="H33" s="14">
        <f>IF(AND(Assumptions_PensionType="db",A33&gt;=Assumptions_DbPensionStartAge), IF(Assumptions_DbPensionIndexed=1, Assumptions_DbPensionAnnual*D33, Assumptions_DbPensionAnnual), 0)</f>
      </c>
      <c r="I33" s="14">
        <f>IF(AND(A33&gt;=72,AL32&gt;0), VLOOKUP(MIN(A33,95),RrifRates,2,TRUE)*AL32, 0)</f>
      </c>
      <c r="J33" s="14">
        <f>IF(AND(Assumptions_MeltdownEnabled=1,A33&gt;=Assumptions_MeltdownStartAge,A33&lt;Assumptions_MeltdownTargetAge), MIN(Assumptions_MeltdownAnnual,AL32), 0)</f>
      </c>
      <c r="K33" s="14">
        <f>MIN(MAX(I33,J33),AL32)</f>
      </c>
      <c r="L33" s="14">
        <f>E33+F33+G33+H33+K33</f>
      </c>
      <c r="M33" s="14">
        <f>IF(C33=1, Assumptions_MonthlyExpenses*12*(1-Assumptions_ExpenseReduction), Assumptions_MonthlyExpenses*12)*D33</f>
      </c>
      <c r="N33" s="14">
        <f>IF(AND(AP32&gt;0, (A33-Assumptions_CurrentAge)&lt;Assumptions_MortgageYears), IF(Assumptions_MortgageRate=0, AP32/MAX(1,Assumptions_MortgageYears-(A33-Assumptions_CurrentAge)), AP32*Assumptions_MortgageRate*(1+Assumptions_MortgageRate)^MAX(1,Assumptions_MortgageYears-(A33-Assumptions_CurrentAge))/((1+Assumptions_MortgageRate)^MAX(1,Assumptions_MortgageYears-(A33-Assumptions_CurrentAge))-1)), 0)</f>
      </c>
      <c r="O33" s="14">
        <f>IF(AND(Assumptions_ConsumerDebt&gt;0, A33&lt;Assumptions_ConsumerPayoffAge), IF(Assumptions_ConsumerDebtRate=0, Assumptions_ConsumerDebt/MAX(1,Assumptions_ConsumerPayoffAge-Assumptions_CurrentAge-(A33-Assumptions_CurrentAge)), Assumptions_ConsumerDebt*Assumptions_ConsumerDebtRate*(1+Assumptions_ConsumerDebtRate)^MAX(1,Assumptions_ConsumerPayoffAge-Assumptions_CurrentAge-(A33-Assumptions_CurrentAge))/((1+Assumptions_ConsumerDebtRate)^MAX(1,Assumptions_ConsumerPayoffAge-Assumptions_CurrentAge-(A33-Assumptions_CurrentAge))-1)), 0)+IF(AND(Assumptions_OtherDebt&gt;0, A33&lt;Assumptions_OtherPayoffAge), IF(Assumptions_OtherDebtRate=0, Assumptions_OtherDebt/MAX(1,Assumptions_OtherPayoffAge-Assumptions_CurrentAge-(A33-Assumptions_CurrentAge)), Assumptions_OtherDebt*Assumptions_OtherDebtRate*(1+Assumptions_OtherDebtRate)^MAX(1,Assumptions_OtherPayoffAge-Assumptions_CurrentAge-(A33-Assumptions_CurrentAge))/((1+Assumptions_OtherDebtRate)^MAX(1,Assumptions_OtherPayoffAge-Assumptions_CurrentAge-(A33-Assumptions_CurrentAge))-1)), 0)</f>
      </c>
      <c r="P33" s="14">
        <f>M33+N33+O33</f>
      </c>
      <c r="Q33" s="14">
        <f>IF(L33&lt;=0, 0, MAX(0, SUMPRODUCT(MAX(MIN(L33,FedBracketMax)-FedBracketMin,0)*FedBracketRate) - (FedBasicPersonal + IF(A33&gt;=65, MAX(0, FedAgeAmount - MAX(0, L33-FedAgeThreshold)*FedAgeClawRate), 0) + IF(OR(H33&gt;0, I33&gt;0), FedPensionCredit, 0)) * FedCreditRate))</f>
      </c>
      <c r="R33" s="14">
        <f>L33-Q33</f>
      </c>
      <c r="S33" s="14">
        <f>MAX(0,P33-R33)</f>
      </c>
      <c r="T33" s="14">
        <f>MIN(S33,AM32)</f>
      </c>
      <c r="U33" s="14">
        <f>MAX(0,S33-T33)</f>
      </c>
      <c r="V33" s="14">
        <f>MIN(U33,AN32)</f>
      </c>
      <c r="W33" s="14">
        <f>MAX(0,U33-V33)</f>
      </c>
      <c r="X33" s="16">
        <f>INDEX(FedBracketRate,MATCH(L33,FedBracketMin,1))+INDEX(ProvBracketRate,MATCH(L33,ProvBracketMin,1))</f>
      </c>
      <c r="Y33" s="14">
        <f>IF(W33&gt;0, MIN(IF(X33&gt;=1, W33, W33/(1-X33)), MAX(0,AL32-K33)), 0)</f>
      </c>
      <c r="Z33" s="14">
        <f>K33+Y33</f>
      </c>
      <c r="AA33" s="14">
        <f>IF(W33&gt;Y33*(1-X33), MIN(MAX(0,W33-Y33*(1-X33)),AO32), 0)</f>
      </c>
      <c r="AB33" s="14">
        <f>MIN(Assumptions_OasMaxAnnual, MAX(0,(E33+F33+G33+H33+Z33-Assumptions_OasClawbackThresh)*Assumptions_OasClawbackRate))</f>
      </c>
      <c r="AC33" s="14">
        <f>MAX(0,G33-AB33)</f>
      </c>
      <c r="AD33" s="14">
        <f>V33*IF(AN32&gt;0, MAX(0,1-AS32/AN32), 0)*Assumptions_CapGainsRate</f>
      </c>
      <c r="AE33" s="14">
        <f>E33+F33+AC33+H33+Z33+AD33</f>
      </c>
      <c r="AF33" s="14">
        <f>MAX(0, SUMPRODUCT(MAX(MIN(AE33,FedBracketMax)-FedBracketMin,0)*FedBracketRate) - (FedBasicPersonal + IF(A33&gt;=65, MAX(0, FedAgeAmount - MAX(0, AE33-FedAgeThreshold)*FedAgeClawRate), 0) + IF(OR(H33&gt;0, I33&gt;0), FedPensionCredit, 0)) * FedCreditRate)</f>
      </c>
      <c r="AG33" s="14">
        <f>MAX(0, SUMPRODUCT(MAX(MIN(AE33,ProvBracketMax)-ProvBracketMin,0)*ProvBracketRate) - (ProvBasicPersonal + IF(A33&gt;=65, MAX(0, ProvAgeAmount - MAX(0, AE33-ProvAgeThreshold)*ProvAgeClawRate), 0) + IF(OR(H33&gt;0, I33&gt;0), ProvPensionCredit, 0)) * ProvCreditRate) + MAX(0, (MAX(0, SUMPRODUCT(MAX(MIN(AE33,ProvBracketMax)-ProvBracketMin,0)*ProvBracketRate) - (ProvBasicPersonal + IF(A33&gt;=65, MAX(0, ProvAgeAmount - MAX(0, AE33-ProvAgeThreshold)*ProvAgeClawRate), 0) + IF(OR(H33&gt;0, I33&gt;0), ProvPensionCredit, 0)) * ProvCreditRate)-SurtaxThreshold1)*SurtaxRate1) + MAX(0, (MAX(0, SUMPRODUCT(MAX(MIN(AE33,ProvBracketMax)-ProvBracketMin,0)*ProvBracketRate) - (ProvBasicPersonal + IF(A33&gt;=65, MAX(0, ProvAgeAmount - MAX(0, AE33-ProvAgeThreshold)*ProvAgeClawRate), 0) + IF(OR(H33&gt;0, I33&gt;0), ProvPensionCredit, 0)) * ProvCreditRate)-SurtaxThreshold2)*SurtaxRate2)</f>
      </c>
      <c r="AH33" s="14">
        <f>AF33+AG33</f>
      </c>
      <c r="AI33" s="14">
        <f>E33+F33+AC33+H33+Z33+T33+V33+AA33-AH33</f>
      </c>
      <c r="AJ33" s="14">
        <f>AI33-M33-N33-O33</f>
      </c>
      <c r="AK33" s="14">
        <f>IF(AJ33&gt;0, MIN(AJ33, Assumptions_TfsaAnnualLimit), 0)</f>
      </c>
      <c r="AL33" s="14">
        <f>MAX(0,AL32-Z33)*(1+Assumptions_RealReturn)</f>
      </c>
      <c r="AM33" s="14">
        <f>MAX(0,AM32-T33+AK33)*(1+Assumptions_TfsaReturn)</f>
      </c>
      <c r="AN33" s="14">
        <f>MAX(0,AN32-V33+MAX(0,AJ33-AK33))*(1+Assumptions_NonRegReturn)</f>
      </c>
      <c r="AO33" s="14">
        <f>MAX(0,AO32-AA33)*(1+Assumptions_RealReturn)</f>
      </c>
      <c r="AP33" s="14">
        <f>IF(N33&gt;0, MAX(0, AP32*(1+Assumptions_MortgageRate)-N33), 0)</f>
      </c>
      <c r="AQ33" s="14">
        <f>AL33+AM33+AN33+AO33</f>
      </c>
      <c r="AR33" s="14">
        <f>AQ33+Assumptions_RealEstateValue-AP33</f>
      </c>
      <c r="AS33" s="14">
        <f>MAX(0,AS32*MAX(0,AN32-V33)/IF(AN32&gt;0,AN32,1))+MAX(0,AJ33-AK33)</f>
      </c>
    </row>
    <row r="34" spans="1:45" x14ac:dyDescent="0.25">
      <c r="A34" s="15">
        <f>A33+1</f>
      </c>
      <c r="B34" s="15">
        <f>2026+(A34-Assumptions_CurrentAge)</f>
      </c>
      <c r="C34" s="15">
        <f>IF(A34&gt;=Assumptions_RetirementAge,1,0)</f>
      </c>
      <c r="D34" s="17">
        <f>(1+Assumptions_Inflation)^(A34-Assumptions_CurrentAge)</f>
      </c>
      <c r="E34" s="14">
        <f>IF(AND(C34=0,Assumptions_StillWorking=1),Assumptions_EmploymentIncome*D34,0)</f>
      </c>
      <c r="F34" s="14">
        <f>IF(A34&gt;=Assumptions_CppStartAge, Assumptions_CppMonthly*12*IF((Assumptions_CppStartAge-65)*12&lt;0, 1+(Assumptions_CppStartAge-65)*12*CppEarlyReduction, 1+(Assumptions_CppStartAge-65)*12*CppLateIncrease)*D34, 0)</f>
      </c>
      <c r="G34" s="14">
        <f>IF(A34&gt;=Assumptions_OasStartAge, Assumptions_OasMonthly*12*(1+MAX(0, MIN(Assumptions_OasStartAge, OasMaxDeferAge)-OasStdStartAge)*12*OasDeferralBonus)*D34, 0)</f>
      </c>
      <c r="H34" s="14">
        <f>IF(AND(Assumptions_PensionType="db",A34&gt;=Assumptions_DbPensionStartAge), IF(Assumptions_DbPensionIndexed=1, Assumptions_DbPensionAnnual*D34, Assumptions_DbPensionAnnual), 0)</f>
      </c>
      <c r="I34" s="14">
        <f>IF(AND(A34&gt;=72,AL33&gt;0), VLOOKUP(MIN(A34,95),RrifRates,2,TRUE)*AL33, 0)</f>
      </c>
      <c r="J34" s="14">
        <f>IF(AND(Assumptions_MeltdownEnabled=1,A34&gt;=Assumptions_MeltdownStartAge,A34&lt;Assumptions_MeltdownTargetAge), MIN(Assumptions_MeltdownAnnual,AL33), 0)</f>
      </c>
      <c r="K34" s="14">
        <f>MIN(MAX(I34,J34),AL33)</f>
      </c>
      <c r="L34" s="14">
        <f>E34+F34+G34+H34+K34</f>
      </c>
      <c r="M34" s="14">
        <f>IF(C34=1, Assumptions_MonthlyExpenses*12*(1-Assumptions_ExpenseReduction), Assumptions_MonthlyExpenses*12)*D34</f>
      </c>
      <c r="N34" s="14">
        <f>IF(AND(AP33&gt;0, (A34-Assumptions_CurrentAge)&lt;Assumptions_MortgageYears), IF(Assumptions_MortgageRate=0, AP33/MAX(1,Assumptions_MortgageYears-(A34-Assumptions_CurrentAge)), AP33*Assumptions_MortgageRate*(1+Assumptions_MortgageRate)^MAX(1,Assumptions_MortgageYears-(A34-Assumptions_CurrentAge))/((1+Assumptions_MortgageRate)^MAX(1,Assumptions_MortgageYears-(A34-Assumptions_CurrentAge))-1)), 0)</f>
      </c>
      <c r="O34" s="14">
        <f>IF(AND(Assumptions_ConsumerDebt&gt;0, A34&lt;Assumptions_ConsumerPayoffAge), IF(Assumptions_ConsumerDebtRate=0, Assumptions_ConsumerDebt/MAX(1,Assumptions_ConsumerPayoffAge-Assumptions_CurrentAge-(A34-Assumptions_CurrentAge)), Assumptions_ConsumerDebt*Assumptions_ConsumerDebtRate*(1+Assumptions_ConsumerDebtRate)^MAX(1,Assumptions_ConsumerPayoffAge-Assumptions_CurrentAge-(A34-Assumptions_CurrentAge))/((1+Assumptions_ConsumerDebtRate)^MAX(1,Assumptions_ConsumerPayoffAge-Assumptions_CurrentAge-(A34-Assumptions_CurrentAge))-1)), 0)+IF(AND(Assumptions_OtherDebt&gt;0, A34&lt;Assumptions_OtherPayoffAge), IF(Assumptions_OtherDebtRate=0, Assumptions_OtherDebt/MAX(1,Assumptions_OtherPayoffAge-Assumptions_CurrentAge-(A34-Assumptions_CurrentAge)), Assumptions_OtherDebt*Assumptions_OtherDebtRate*(1+Assumptions_OtherDebtRate)^MAX(1,Assumptions_OtherPayoffAge-Assumptions_CurrentAge-(A34-Assumptions_CurrentAge))/((1+Assumptions_OtherDebtRate)^MAX(1,Assumptions_OtherPayoffAge-Assumptions_CurrentAge-(A34-Assumptions_CurrentAge))-1)), 0)</f>
      </c>
      <c r="P34" s="14">
        <f>M34+N34+O34</f>
      </c>
      <c r="Q34" s="14">
        <f>IF(L34&lt;=0, 0, MAX(0, SUMPRODUCT(MAX(MIN(L34,FedBracketMax)-FedBracketMin,0)*FedBracketRate) - (FedBasicPersonal + IF(A34&gt;=65, MAX(0, FedAgeAmount - MAX(0, L34-FedAgeThreshold)*FedAgeClawRate), 0) + IF(OR(H34&gt;0, I34&gt;0), FedPensionCredit, 0)) * FedCreditRate))</f>
      </c>
      <c r="R34" s="14">
        <f>L34-Q34</f>
      </c>
      <c r="S34" s="14">
        <f>MAX(0,P34-R34)</f>
      </c>
      <c r="T34" s="14">
        <f>MIN(S34,AM33)</f>
      </c>
      <c r="U34" s="14">
        <f>MAX(0,S34-T34)</f>
      </c>
      <c r="V34" s="14">
        <f>MIN(U34,AN33)</f>
      </c>
      <c r="W34" s="14">
        <f>MAX(0,U34-V34)</f>
      </c>
      <c r="X34" s="16">
        <f>INDEX(FedBracketRate,MATCH(L34,FedBracketMin,1))+INDEX(ProvBracketRate,MATCH(L34,ProvBracketMin,1))</f>
      </c>
      <c r="Y34" s="14">
        <f>IF(W34&gt;0, MIN(IF(X34&gt;=1, W34, W34/(1-X34)), MAX(0,AL33-K34)), 0)</f>
      </c>
      <c r="Z34" s="14">
        <f>K34+Y34</f>
      </c>
      <c r="AA34" s="14">
        <f>IF(W34&gt;Y34*(1-X34), MIN(MAX(0,W34-Y34*(1-X34)),AO33), 0)</f>
      </c>
      <c r="AB34" s="14">
        <f>MIN(Assumptions_OasMaxAnnual, MAX(0,(E34+F34+G34+H34+Z34-Assumptions_OasClawbackThresh)*Assumptions_OasClawbackRate))</f>
      </c>
      <c r="AC34" s="14">
        <f>MAX(0,G34-AB34)</f>
      </c>
      <c r="AD34" s="14">
        <f>V34*IF(AN33&gt;0, MAX(0,1-AS33/AN33), 0)*Assumptions_CapGainsRate</f>
      </c>
      <c r="AE34" s="14">
        <f>E34+F34+AC34+H34+Z34+AD34</f>
      </c>
      <c r="AF34" s="14">
        <f>MAX(0, SUMPRODUCT(MAX(MIN(AE34,FedBracketMax)-FedBracketMin,0)*FedBracketRate) - (FedBasicPersonal + IF(A34&gt;=65, MAX(0, FedAgeAmount - MAX(0, AE34-FedAgeThreshold)*FedAgeClawRate), 0) + IF(OR(H34&gt;0, I34&gt;0), FedPensionCredit, 0)) * FedCreditRate)</f>
      </c>
      <c r="AG34" s="14">
        <f>MAX(0, SUMPRODUCT(MAX(MIN(AE34,ProvBracketMax)-ProvBracketMin,0)*ProvBracketRate) - (ProvBasicPersonal + IF(A34&gt;=65, MAX(0, ProvAgeAmount - MAX(0, AE34-ProvAgeThreshold)*ProvAgeClawRate), 0) + IF(OR(H34&gt;0, I34&gt;0), ProvPensionCredit, 0)) * ProvCreditRate) + MAX(0, (MAX(0, SUMPRODUCT(MAX(MIN(AE34,ProvBracketMax)-ProvBracketMin,0)*ProvBracketRate) - (ProvBasicPersonal + IF(A34&gt;=65, MAX(0, ProvAgeAmount - MAX(0, AE34-ProvAgeThreshold)*ProvAgeClawRate), 0) + IF(OR(H34&gt;0, I34&gt;0), ProvPensionCredit, 0)) * ProvCreditRate)-SurtaxThreshold1)*SurtaxRate1) + MAX(0, (MAX(0, SUMPRODUCT(MAX(MIN(AE34,ProvBracketMax)-ProvBracketMin,0)*ProvBracketRate) - (ProvBasicPersonal + IF(A34&gt;=65, MAX(0, ProvAgeAmount - MAX(0, AE34-ProvAgeThreshold)*ProvAgeClawRate), 0) + IF(OR(H34&gt;0, I34&gt;0), ProvPensionCredit, 0)) * ProvCreditRate)-SurtaxThreshold2)*SurtaxRate2)</f>
      </c>
      <c r="AH34" s="14">
        <f>AF34+AG34</f>
      </c>
      <c r="AI34" s="14">
        <f>E34+F34+AC34+H34+Z34+T34+V34+AA34-AH34</f>
      </c>
      <c r="AJ34" s="14">
        <f>AI34-M34-N34-O34</f>
      </c>
      <c r="AK34" s="14">
        <f>IF(AJ34&gt;0, MIN(AJ34, Assumptions_TfsaAnnualLimit), 0)</f>
      </c>
      <c r="AL34" s="14">
        <f>MAX(0,AL33-Z34)*(1+Assumptions_RealReturn)</f>
      </c>
      <c r="AM34" s="14">
        <f>MAX(0,AM33-T34+AK34)*(1+Assumptions_TfsaReturn)</f>
      </c>
      <c r="AN34" s="14">
        <f>MAX(0,AN33-V34+MAX(0,AJ34-AK34))*(1+Assumptions_NonRegReturn)</f>
      </c>
      <c r="AO34" s="14">
        <f>MAX(0,AO33-AA34)*(1+Assumptions_RealReturn)</f>
      </c>
      <c r="AP34" s="14">
        <f>IF(N34&gt;0, MAX(0, AP33*(1+Assumptions_MortgageRate)-N34), 0)</f>
      </c>
      <c r="AQ34" s="14">
        <f>AL34+AM34+AN34+AO34</f>
      </c>
      <c r="AR34" s="14">
        <f>AQ34+Assumptions_RealEstateValue-AP34</f>
      </c>
      <c r="AS34" s="14">
        <f>MAX(0,AS33*MAX(0,AN33-V34)/IF(AN33&gt;0,AN33,1))+MAX(0,AJ34-AK34)</f>
      </c>
    </row>
    <row r="35" spans="1:45" x14ac:dyDescent="0.25">
      <c r="A35" s="15">
        <f>A34+1</f>
      </c>
      <c r="B35" s="15">
        <f>2026+(A35-Assumptions_CurrentAge)</f>
      </c>
      <c r="C35" s="15">
        <f>IF(A35&gt;=Assumptions_RetirementAge,1,0)</f>
      </c>
      <c r="D35" s="17">
        <f>(1+Assumptions_Inflation)^(A35-Assumptions_CurrentAge)</f>
      </c>
      <c r="E35" s="14">
        <f>IF(AND(C35=0,Assumptions_StillWorking=1),Assumptions_EmploymentIncome*D35,0)</f>
      </c>
      <c r="F35" s="14">
        <f>IF(A35&gt;=Assumptions_CppStartAge, Assumptions_CppMonthly*12*IF((Assumptions_CppStartAge-65)*12&lt;0, 1+(Assumptions_CppStartAge-65)*12*CppEarlyReduction, 1+(Assumptions_CppStartAge-65)*12*CppLateIncrease)*D35, 0)</f>
      </c>
      <c r="G35" s="14">
        <f>IF(A35&gt;=Assumptions_OasStartAge, Assumptions_OasMonthly*12*(1+MAX(0, MIN(Assumptions_OasStartAge, OasMaxDeferAge)-OasStdStartAge)*12*OasDeferralBonus)*D35, 0)</f>
      </c>
      <c r="H35" s="14">
        <f>IF(AND(Assumptions_PensionType="db",A35&gt;=Assumptions_DbPensionStartAge), IF(Assumptions_DbPensionIndexed=1, Assumptions_DbPensionAnnual*D35, Assumptions_DbPensionAnnual), 0)</f>
      </c>
      <c r="I35" s="14">
        <f>IF(AND(A35&gt;=72,AL34&gt;0), VLOOKUP(MIN(A35,95),RrifRates,2,TRUE)*AL34, 0)</f>
      </c>
      <c r="J35" s="14">
        <f>IF(AND(Assumptions_MeltdownEnabled=1,A35&gt;=Assumptions_MeltdownStartAge,A35&lt;Assumptions_MeltdownTargetAge), MIN(Assumptions_MeltdownAnnual,AL34), 0)</f>
      </c>
      <c r="K35" s="14">
        <f>MIN(MAX(I35,J35),AL34)</f>
      </c>
      <c r="L35" s="14">
        <f>E35+F35+G35+H35+K35</f>
      </c>
      <c r="M35" s="14">
        <f>IF(C35=1, Assumptions_MonthlyExpenses*12*(1-Assumptions_ExpenseReduction), Assumptions_MonthlyExpenses*12)*D35</f>
      </c>
      <c r="N35" s="14">
        <f>IF(AND(AP34&gt;0, (A35-Assumptions_CurrentAge)&lt;Assumptions_MortgageYears), IF(Assumptions_MortgageRate=0, AP34/MAX(1,Assumptions_MortgageYears-(A35-Assumptions_CurrentAge)), AP34*Assumptions_MortgageRate*(1+Assumptions_MortgageRate)^MAX(1,Assumptions_MortgageYears-(A35-Assumptions_CurrentAge))/((1+Assumptions_MortgageRate)^MAX(1,Assumptions_MortgageYears-(A35-Assumptions_CurrentAge))-1)), 0)</f>
      </c>
      <c r="O35" s="14">
        <f>IF(AND(Assumptions_ConsumerDebt&gt;0, A35&lt;Assumptions_ConsumerPayoffAge), IF(Assumptions_ConsumerDebtRate=0, Assumptions_ConsumerDebt/MAX(1,Assumptions_ConsumerPayoffAge-Assumptions_CurrentAge-(A35-Assumptions_CurrentAge)), Assumptions_ConsumerDebt*Assumptions_ConsumerDebtRate*(1+Assumptions_ConsumerDebtRate)^MAX(1,Assumptions_ConsumerPayoffAge-Assumptions_CurrentAge-(A35-Assumptions_CurrentAge))/((1+Assumptions_ConsumerDebtRate)^MAX(1,Assumptions_ConsumerPayoffAge-Assumptions_CurrentAge-(A35-Assumptions_CurrentAge))-1)), 0)+IF(AND(Assumptions_OtherDebt&gt;0, A35&lt;Assumptions_OtherPayoffAge), IF(Assumptions_OtherDebtRate=0, Assumptions_OtherDebt/MAX(1,Assumptions_OtherPayoffAge-Assumptions_CurrentAge-(A35-Assumptions_CurrentAge)), Assumptions_OtherDebt*Assumptions_OtherDebtRate*(1+Assumptions_OtherDebtRate)^MAX(1,Assumptions_OtherPayoffAge-Assumptions_CurrentAge-(A35-Assumptions_CurrentAge))/((1+Assumptions_OtherDebtRate)^MAX(1,Assumptions_OtherPayoffAge-Assumptions_CurrentAge-(A35-Assumptions_CurrentAge))-1)), 0)</f>
      </c>
      <c r="P35" s="14">
        <f>M35+N35+O35</f>
      </c>
      <c r="Q35" s="14">
        <f>IF(L35&lt;=0, 0, MAX(0, SUMPRODUCT(MAX(MIN(L35,FedBracketMax)-FedBracketMin,0)*FedBracketRate) - (FedBasicPersonal + IF(A35&gt;=65, MAX(0, FedAgeAmount - MAX(0, L35-FedAgeThreshold)*FedAgeClawRate), 0) + IF(OR(H35&gt;0, I35&gt;0), FedPensionCredit, 0)) * FedCreditRate))</f>
      </c>
      <c r="R35" s="14">
        <f>L35-Q35</f>
      </c>
      <c r="S35" s="14">
        <f>MAX(0,P35-R35)</f>
      </c>
      <c r="T35" s="14">
        <f>MIN(S35,AM34)</f>
      </c>
      <c r="U35" s="14">
        <f>MAX(0,S35-T35)</f>
      </c>
      <c r="V35" s="14">
        <f>MIN(U35,AN34)</f>
      </c>
      <c r="W35" s="14">
        <f>MAX(0,U35-V35)</f>
      </c>
      <c r="X35" s="16">
        <f>INDEX(FedBracketRate,MATCH(L35,FedBracketMin,1))+INDEX(ProvBracketRate,MATCH(L35,ProvBracketMin,1))</f>
      </c>
      <c r="Y35" s="14">
        <f>IF(W35&gt;0, MIN(IF(X35&gt;=1, W35, W35/(1-X35)), MAX(0,AL34-K35)), 0)</f>
      </c>
      <c r="Z35" s="14">
        <f>K35+Y35</f>
      </c>
      <c r="AA35" s="14">
        <f>IF(W35&gt;Y35*(1-X35), MIN(MAX(0,W35-Y35*(1-X35)),AO34), 0)</f>
      </c>
      <c r="AB35" s="14">
        <f>MIN(Assumptions_OasMaxAnnual, MAX(0,(E35+F35+G35+H35+Z35-Assumptions_OasClawbackThresh)*Assumptions_OasClawbackRate))</f>
      </c>
      <c r="AC35" s="14">
        <f>MAX(0,G35-AB35)</f>
      </c>
      <c r="AD35" s="14">
        <f>V35*IF(AN34&gt;0, MAX(0,1-AS34/AN34), 0)*Assumptions_CapGainsRate</f>
      </c>
      <c r="AE35" s="14">
        <f>E35+F35+AC35+H35+Z35+AD35</f>
      </c>
      <c r="AF35" s="14">
        <f>MAX(0, SUMPRODUCT(MAX(MIN(AE35,FedBracketMax)-FedBracketMin,0)*FedBracketRate) - (FedBasicPersonal + IF(A35&gt;=65, MAX(0, FedAgeAmount - MAX(0, AE35-FedAgeThreshold)*FedAgeClawRate), 0) + IF(OR(H35&gt;0, I35&gt;0), FedPensionCredit, 0)) * FedCreditRate)</f>
      </c>
      <c r="AG35" s="14">
        <f>MAX(0, SUMPRODUCT(MAX(MIN(AE35,ProvBracketMax)-ProvBracketMin,0)*ProvBracketRate) - (ProvBasicPersonal + IF(A35&gt;=65, MAX(0, ProvAgeAmount - MAX(0, AE35-ProvAgeThreshold)*ProvAgeClawRate), 0) + IF(OR(H35&gt;0, I35&gt;0), ProvPensionCredit, 0)) * ProvCreditRate) + MAX(0, (MAX(0, SUMPRODUCT(MAX(MIN(AE35,ProvBracketMax)-ProvBracketMin,0)*ProvBracketRate) - (ProvBasicPersonal + IF(A35&gt;=65, MAX(0, ProvAgeAmount - MAX(0, AE35-ProvAgeThreshold)*ProvAgeClawRate), 0) + IF(OR(H35&gt;0, I35&gt;0), ProvPensionCredit, 0)) * ProvCreditRate)-SurtaxThreshold1)*SurtaxRate1) + MAX(0, (MAX(0, SUMPRODUCT(MAX(MIN(AE35,ProvBracketMax)-ProvBracketMin,0)*ProvBracketRate) - (ProvBasicPersonal + IF(A35&gt;=65, MAX(0, ProvAgeAmount - MAX(0, AE35-ProvAgeThreshold)*ProvAgeClawRate), 0) + IF(OR(H35&gt;0, I35&gt;0), ProvPensionCredit, 0)) * ProvCreditRate)-SurtaxThreshold2)*SurtaxRate2)</f>
      </c>
      <c r="AH35" s="14">
        <f>AF35+AG35</f>
      </c>
      <c r="AI35" s="14">
        <f>E35+F35+AC35+H35+Z35+T35+V35+AA35-AH35</f>
      </c>
      <c r="AJ35" s="14">
        <f>AI35-M35-N35-O35</f>
      </c>
      <c r="AK35" s="14">
        <f>IF(AJ35&gt;0, MIN(AJ35, Assumptions_TfsaAnnualLimit), 0)</f>
      </c>
      <c r="AL35" s="14">
        <f>MAX(0,AL34-Z35)*(1+Assumptions_RealReturn)</f>
      </c>
      <c r="AM35" s="14">
        <f>MAX(0,AM34-T35+AK35)*(1+Assumptions_TfsaReturn)</f>
      </c>
      <c r="AN35" s="14">
        <f>MAX(0,AN34-V35+MAX(0,AJ35-AK35))*(1+Assumptions_NonRegReturn)</f>
      </c>
      <c r="AO35" s="14">
        <f>MAX(0,AO34-AA35)*(1+Assumptions_RealReturn)</f>
      </c>
      <c r="AP35" s="14">
        <f>IF(N35&gt;0, MAX(0, AP34*(1+Assumptions_MortgageRate)-N35), 0)</f>
      </c>
      <c r="AQ35" s="14">
        <f>AL35+AM35+AN35+AO35</f>
      </c>
      <c r="AR35" s="14">
        <f>AQ35+Assumptions_RealEstateValue-AP35</f>
      </c>
      <c r="AS35" s="14">
        <f>MAX(0,AS34*MAX(0,AN34-V35)/IF(AN34&gt;0,AN34,1))+MAX(0,AJ35-AK35)</f>
      </c>
    </row>
    <row r="36" spans="1:45" x14ac:dyDescent="0.25">
      <c r="A36" s="15">
        <f>A35+1</f>
      </c>
      <c r="B36" s="15">
        <f>2026+(A36-Assumptions_CurrentAge)</f>
      </c>
      <c r="C36" s="15">
        <f>IF(A36&gt;=Assumptions_RetirementAge,1,0)</f>
      </c>
      <c r="D36" s="17">
        <f>(1+Assumptions_Inflation)^(A36-Assumptions_CurrentAge)</f>
      </c>
      <c r="E36" s="14">
        <f>IF(AND(C36=0,Assumptions_StillWorking=1),Assumptions_EmploymentIncome*D36,0)</f>
      </c>
      <c r="F36" s="14">
        <f>IF(A36&gt;=Assumptions_CppStartAge, Assumptions_CppMonthly*12*IF((Assumptions_CppStartAge-65)*12&lt;0, 1+(Assumptions_CppStartAge-65)*12*CppEarlyReduction, 1+(Assumptions_CppStartAge-65)*12*CppLateIncrease)*D36, 0)</f>
      </c>
      <c r="G36" s="14">
        <f>IF(A36&gt;=Assumptions_OasStartAge, Assumptions_OasMonthly*12*(1+MAX(0, MIN(Assumptions_OasStartAge, OasMaxDeferAge)-OasStdStartAge)*12*OasDeferralBonus)*D36, 0)</f>
      </c>
      <c r="H36" s="14">
        <f>IF(AND(Assumptions_PensionType="db",A36&gt;=Assumptions_DbPensionStartAge), IF(Assumptions_DbPensionIndexed=1, Assumptions_DbPensionAnnual*D36, Assumptions_DbPensionAnnual), 0)</f>
      </c>
      <c r="I36" s="14">
        <f>IF(AND(A36&gt;=72,AL35&gt;0), VLOOKUP(MIN(A36,95),RrifRates,2,TRUE)*AL35, 0)</f>
      </c>
      <c r="J36" s="14">
        <f>IF(AND(Assumptions_MeltdownEnabled=1,A36&gt;=Assumptions_MeltdownStartAge,A36&lt;Assumptions_MeltdownTargetAge), MIN(Assumptions_MeltdownAnnual,AL35), 0)</f>
      </c>
      <c r="K36" s="14">
        <f>MIN(MAX(I36,J36),AL35)</f>
      </c>
      <c r="L36" s="14">
        <f>E36+F36+G36+H36+K36</f>
      </c>
      <c r="M36" s="14">
        <f>IF(C36=1, Assumptions_MonthlyExpenses*12*(1-Assumptions_ExpenseReduction), Assumptions_MonthlyExpenses*12)*D36</f>
      </c>
      <c r="N36" s="14">
        <f>IF(AND(AP35&gt;0, (A36-Assumptions_CurrentAge)&lt;Assumptions_MortgageYears), IF(Assumptions_MortgageRate=0, AP35/MAX(1,Assumptions_MortgageYears-(A36-Assumptions_CurrentAge)), AP35*Assumptions_MortgageRate*(1+Assumptions_MortgageRate)^MAX(1,Assumptions_MortgageYears-(A36-Assumptions_CurrentAge))/((1+Assumptions_MortgageRate)^MAX(1,Assumptions_MortgageYears-(A36-Assumptions_CurrentAge))-1)), 0)</f>
      </c>
      <c r="O36" s="14">
        <f>IF(AND(Assumptions_ConsumerDebt&gt;0, A36&lt;Assumptions_ConsumerPayoffAge), IF(Assumptions_ConsumerDebtRate=0, Assumptions_ConsumerDebt/MAX(1,Assumptions_ConsumerPayoffAge-Assumptions_CurrentAge-(A36-Assumptions_CurrentAge)), Assumptions_ConsumerDebt*Assumptions_ConsumerDebtRate*(1+Assumptions_ConsumerDebtRate)^MAX(1,Assumptions_ConsumerPayoffAge-Assumptions_CurrentAge-(A36-Assumptions_CurrentAge))/((1+Assumptions_ConsumerDebtRate)^MAX(1,Assumptions_ConsumerPayoffAge-Assumptions_CurrentAge-(A36-Assumptions_CurrentAge))-1)), 0)+IF(AND(Assumptions_OtherDebt&gt;0, A36&lt;Assumptions_OtherPayoffAge), IF(Assumptions_OtherDebtRate=0, Assumptions_OtherDebt/MAX(1,Assumptions_OtherPayoffAge-Assumptions_CurrentAge-(A36-Assumptions_CurrentAge)), Assumptions_OtherDebt*Assumptions_OtherDebtRate*(1+Assumptions_OtherDebtRate)^MAX(1,Assumptions_OtherPayoffAge-Assumptions_CurrentAge-(A36-Assumptions_CurrentAge))/((1+Assumptions_OtherDebtRate)^MAX(1,Assumptions_OtherPayoffAge-Assumptions_CurrentAge-(A36-Assumptions_CurrentAge))-1)), 0)</f>
      </c>
      <c r="P36" s="14">
        <f>M36+N36+O36</f>
      </c>
      <c r="Q36" s="14">
        <f>IF(L36&lt;=0, 0, MAX(0, SUMPRODUCT(MAX(MIN(L36,FedBracketMax)-FedBracketMin,0)*FedBracketRate) - (FedBasicPersonal + IF(A36&gt;=65, MAX(0, FedAgeAmount - MAX(0, L36-FedAgeThreshold)*FedAgeClawRate), 0) + IF(OR(H36&gt;0, I36&gt;0), FedPensionCredit, 0)) * FedCreditRate))</f>
      </c>
      <c r="R36" s="14">
        <f>L36-Q36</f>
      </c>
      <c r="S36" s="14">
        <f>MAX(0,P36-R36)</f>
      </c>
      <c r="T36" s="14">
        <f>MIN(S36,AM35)</f>
      </c>
      <c r="U36" s="14">
        <f>MAX(0,S36-T36)</f>
      </c>
      <c r="V36" s="14">
        <f>MIN(U36,AN35)</f>
      </c>
      <c r="W36" s="14">
        <f>MAX(0,U36-V36)</f>
      </c>
      <c r="X36" s="16">
        <f>INDEX(FedBracketRate,MATCH(L36,FedBracketMin,1))+INDEX(ProvBracketRate,MATCH(L36,ProvBracketMin,1))</f>
      </c>
      <c r="Y36" s="14">
        <f>IF(W36&gt;0, MIN(IF(X36&gt;=1, W36, W36/(1-X36)), MAX(0,AL35-K36)), 0)</f>
      </c>
      <c r="Z36" s="14">
        <f>K36+Y36</f>
      </c>
      <c r="AA36" s="14">
        <f>IF(W36&gt;Y36*(1-X36), MIN(MAX(0,W36-Y36*(1-X36)),AO35), 0)</f>
      </c>
      <c r="AB36" s="14">
        <f>MIN(Assumptions_OasMaxAnnual, MAX(0,(E36+F36+G36+H36+Z36-Assumptions_OasClawbackThresh)*Assumptions_OasClawbackRate))</f>
      </c>
      <c r="AC36" s="14">
        <f>MAX(0,G36-AB36)</f>
      </c>
      <c r="AD36" s="14">
        <f>V36*IF(AN35&gt;0, MAX(0,1-AS35/AN35), 0)*Assumptions_CapGainsRate</f>
      </c>
      <c r="AE36" s="14">
        <f>E36+F36+AC36+H36+Z36+AD36</f>
      </c>
      <c r="AF36" s="14">
        <f>MAX(0, SUMPRODUCT(MAX(MIN(AE36,FedBracketMax)-FedBracketMin,0)*FedBracketRate) - (FedBasicPersonal + IF(A36&gt;=65, MAX(0, FedAgeAmount - MAX(0, AE36-FedAgeThreshold)*FedAgeClawRate), 0) + IF(OR(H36&gt;0, I36&gt;0), FedPensionCredit, 0)) * FedCreditRate)</f>
      </c>
      <c r="AG36" s="14">
        <f>MAX(0, SUMPRODUCT(MAX(MIN(AE36,ProvBracketMax)-ProvBracketMin,0)*ProvBracketRate) - (ProvBasicPersonal + IF(A36&gt;=65, MAX(0, ProvAgeAmount - MAX(0, AE36-ProvAgeThreshold)*ProvAgeClawRate), 0) + IF(OR(H36&gt;0, I36&gt;0), ProvPensionCredit, 0)) * ProvCreditRate) + MAX(0, (MAX(0, SUMPRODUCT(MAX(MIN(AE36,ProvBracketMax)-ProvBracketMin,0)*ProvBracketRate) - (ProvBasicPersonal + IF(A36&gt;=65, MAX(0, ProvAgeAmount - MAX(0, AE36-ProvAgeThreshold)*ProvAgeClawRate), 0) + IF(OR(H36&gt;0, I36&gt;0), ProvPensionCredit, 0)) * ProvCreditRate)-SurtaxThreshold1)*SurtaxRate1) + MAX(0, (MAX(0, SUMPRODUCT(MAX(MIN(AE36,ProvBracketMax)-ProvBracketMin,0)*ProvBracketRate) - (ProvBasicPersonal + IF(A36&gt;=65, MAX(0, ProvAgeAmount - MAX(0, AE36-ProvAgeThreshold)*ProvAgeClawRate), 0) + IF(OR(H36&gt;0, I36&gt;0), ProvPensionCredit, 0)) * ProvCreditRate)-SurtaxThreshold2)*SurtaxRate2)</f>
      </c>
      <c r="AH36" s="14">
        <f>AF36+AG36</f>
      </c>
      <c r="AI36" s="14">
        <f>E36+F36+AC36+H36+Z36+T36+V36+AA36-AH36</f>
      </c>
      <c r="AJ36" s="14">
        <f>AI36-M36-N36-O36</f>
      </c>
      <c r="AK36" s="14">
        <f>IF(AJ36&gt;0, MIN(AJ36, Assumptions_TfsaAnnualLimit), 0)</f>
      </c>
      <c r="AL36" s="14">
        <f>MAX(0,AL35-Z36)*(1+Assumptions_RealReturn)</f>
      </c>
      <c r="AM36" s="14">
        <f>MAX(0,AM35-T36+AK36)*(1+Assumptions_TfsaReturn)</f>
      </c>
      <c r="AN36" s="14">
        <f>MAX(0,AN35-V36+MAX(0,AJ36-AK36))*(1+Assumptions_NonRegReturn)</f>
      </c>
      <c r="AO36" s="14">
        <f>MAX(0,AO35-AA36)*(1+Assumptions_RealReturn)</f>
      </c>
      <c r="AP36" s="14">
        <f>IF(N36&gt;0, MAX(0, AP35*(1+Assumptions_MortgageRate)-N36), 0)</f>
      </c>
      <c r="AQ36" s="14">
        <f>AL36+AM36+AN36+AO36</f>
      </c>
      <c r="AR36" s="14">
        <f>AQ36+Assumptions_RealEstateValue-AP36</f>
      </c>
      <c r="AS36" s="14">
        <f>MAX(0,AS35*MAX(0,AN35-V36)/IF(AN35&gt;0,AN35,1))+MAX(0,AJ36-AK36)</f>
      </c>
    </row>
    <row r="37" spans="1:45" x14ac:dyDescent="0.25">
      <c r="A37" s="15">
        <f>A36+1</f>
      </c>
      <c r="B37" s="15">
        <f>2026+(A37-Assumptions_CurrentAge)</f>
      </c>
      <c r="C37" s="15">
        <f>IF(A37&gt;=Assumptions_RetirementAge,1,0)</f>
      </c>
      <c r="D37" s="17">
        <f>(1+Assumptions_Inflation)^(A37-Assumptions_CurrentAge)</f>
      </c>
      <c r="E37" s="14">
        <f>IF(AND(C37=0,Assumptions_StillWorking=1),Assumptions_EmploymentIncome*D37,0)</f>
      </c>
      <c r="F37" s="14">
        <f>IF(A37&gt;=Assumptions_CppStartAge, Assumptions_CppMonthly*12*IF((Assumptions_CppStartAge-65)*12&lt;0, 1+(Assumptions_CppStartAge-65)*12*CppEarlyReduction, 1+(Assumptions_CppStartAge-65)*12*CppLateIncrease)*D37, 0)</f>
      </c>
      <c r="G37" s="14">
        <f>IF(A37&gt;=Assumptions_OasStartAge, Assumptions_OasMonthly*12*(1+MAX(0, MIN(Assumptions_OasStartAge, OasMaxDeferAge)-OasStdStartAge)*12*OasDeferralBonus)*D37, 0)</f>
      </c>
      <c r="H37" s="14">
        <f>IF(AND(Assumptions_PensionType="db",A37&gt;=Assumptions_DbPensionStartAge), IF(Assumptions_DbPensionIndexed=1, Assumptions_DbPensionAnnual*D37, Assumptions_DbPensionAnnual), 0)</f>
      </c>
      <c r="I37" s="14">
        <f>IF(AND(A37&gt;=72,AL36&gt;0), VLOOKUP(MIN(A37,95),RrifRates,2,TRUE)*AL36, 0)</f>
      </c>
      <c r="J37" s="14">
        <f>IF(AND(Assumptions_MeltdownEnabled=1,A37&gt;=Assumptions_MeltdownStartAge,A37&lt;Assumptions_MeltdownTargetAge), MIN(Assumptions_MeltdownAnnual,AL36), 0)</f>
      </c>
      <c r="K37" s="14">
        <f>MIN(MAX(I37,J37),AL36)</f>
      </c>
      <c r="L37" s="14">
        <f>E37+F37+G37+H37+K37</f>
      </c>
      <c r="M37" s="14">
        <f>IF(C37=1, Assumptions_MonthlyExpenses*12*(1-Assumptions_ExpenseReduction), Assumptions_MonthlyExpenses*12)*D37</f>
      </c>
      <c r="N37" s="14">
        <f>IF(AND(AP36&gt;0, (A37-Assumptions_CurrentAge)&lt;Assumptions_MortgageYears), IF(Assumptions_MortgageRate=0, AP36/MAX(1,Assumptions_MortgageYears-(A37-Assumptions_CurrentAge)), AP36*Assumptions_MortgageRate*(1+Assumptions_MortgageRate)^MAX(1,Assumptions_MortgageYears-(A37-Assumptions_CurrentAge))/((1+Assumptions_MortgageRate)^MAX(1,Assumptions_MortgageYears-(A37-Assumptions_CurrentAge))-1)), 0)</f>
      </c>
      <c r="O37" s="14">
        <f>IF(AND(Assumptions_ConsumerDebt&gt;0, A37&lt;Assumptions_ConsumerPayoffAge), IF(Assumptions_ConsumerDebtRate=0, Assumptions_ConsumerDebt/MAX(1,Assumptions_ConsumerPayoffAge-Assumptions_CurrentAge-(A37-Assumptions_CurrentAge)), Assumptions_ConsumerDebt*Assumptions_ConsumerDebtRate*(1+Assumptions_ConsumerDebtRate)^MAX(1,Assumptions_ConsumerPayoffAge-Assumptions_CurrentAge-(A37-Assumptions_CurrentAge))/((1+Assumptions_ConsumerDebtRate)^MAX(1,Assumptions_ConsumerPayoffAge-Assumptions_CurrentAge-(A37-Assumptions_CurrentAge))-1)), 0)+IF(AND(Assumptions_OtherDebt&gt;0, A37&lt;Assumptions_OtherPayoffAge), IF(Assumptions_OtherDebtRate=0, Assumptions_OtherDebt/MAX(1,Assumptions_OtherPayoffAge-Assumptions_CurrentAge-(A37-Assumptions_CurrentAge)), Assumptions_OtherDebt*Assumptions_OtherDebtRate*(1+Assumptions_OtherDebtRate)^MAX(1,Assumptions_OtherPayoffAge-Assumptions_CurrentAge-(A37-Assumptions_CurrentAge))/((1+Assumptions_OtherDebtRate)^MAX(1,Assumptions_OtherPayoffAge-Assumptions_CurrentAge-(A37-Assumptions_CurrentAge))-1)), 0)</f>
      </c>
      <c r="P37" s="14">
        <f>M37+N37+O37</f>
      </c>
      <c r="Q37" s="14">
        <f>IF(L37&lt;=0, 0, MAX(0, SUMPRODUCT(MAX(MIN(L37,FedBracketMax)-FedBracketMin,0)*FedBracketRate) - (FedBasicPersonal + IF(A37&gt;=65, MAX(0, FedAgeAmount - MAX(0, L37-FedAgeThreshold)*FedAgeClawRate), 0) + IF(OR(H37&gt;0, I37&gt;0), FedPensionCredit, 0)) * FedCreditRate))</f>
      </c>
      <c r="R37" s="14">
        <f>L37-Q37</f>
      </c>
      <c r="S37" s="14">
        <f>MAX(0,P37-R37)</f>
      </c>
      <c r="T37" s="14">
        <f>MIN(S37,AM36)</f>
      </c>
      <c r="U37" s="14">
        <f>MAX(0,S37-T37)</f>
      </c>
      <c r="V37" s="14">
        <f>MIN(U37,AN36)</f>
      </c>
      <c r="W37" s="14">
        <f>MAX(0,U37-V37)</f>
      </c>
      <c r="X37" s="16">
        <f>INDEX(FedBracketRate,MATCH(L37,FedBracketMin,1))+INDEX(ProvBracketRate,MATCH(L37,ProvBracketMin,1))</f>
      </c>
      <c r="Y37" s="14">
        <f>IF(W37&gt;0, MIN(IF(X37&gt;=1, W37, W37/(1-X37)), MAX(0,AL36-K37)), 0)</f>
      </c>
      <c r="Z37" s="14">
        <f>K37+Y37</f>
      </c>
      <c r="AA37" s="14">
        <f>IF(W37&gt;Y37*(1-X37), MIN(MAX(0,W37-Y37*(1-X37)),AO36), 0)</f>
      </c>
      <c r="AB37" s="14">
        <f>MIN(Assumptions_OasMaxAnnual, MAX(0,(E37+F37+G37+H37+Z37-Assumptions_OasClawbackThresh)*Assumptions_OasClawbackRate))</f>
      </c>
      <c r="AC37" s="14">
        <f>MAX(0,G37-AB37)</f>
      </c>
      <c r="AD37" s="14">
        <f>V37*IF(AN36&gt;0, MAX(0,1-AS36/AN36), 0)*Assumptions_CapGainsRate</f>
      </c>
      <c r="AE37" s="14">
        <f>E37+F37+AC37+H37+Z37+AD37</f>
      </c>
      <c r="AF37" s="14">
        <f>MAX(0, SUMPRODUCT(MAX(MIN(AE37,FedBracketMax)-FedBracketMin,0)*FedBracketRate) - (FedBasicPersonal + IF(A37&gt;=65, MAX(0, FedAgeAmount - MAX(0, AE37-FedAgeThreshold)*FedAgeClawRate), 0) + IF(OR(H37&gt;0, I37&gt;0), FedPensionCredit, 0)) * FedCreditRate)</f>
      </c>
      <c r="AG37" s="14">
        <f>MAX(0, SUMPRODUCT(MAX(MIN(AE37,ProvBracketMax)-ProvBracketMin,0)*ProvBracketRate) - (ProvBasicPersonal + IF(A37&gt;=65, MAX(0, ProvAgeAmount - MAX(0, AE37-ProvAgeThreshold)*ProvAgeClawRate), 0) + IF(OR(H37&gt;0, I37&gt;0), ProvPensionCredit, 0)) * ProvCreditRate) + MAX(0, (MAX(0, SUMPRODUCT(MAX(MIN(AE37,ProvBracketMax)-ProvBracketMin,0)*ProvBracketRate) - (ProvBasicPersonal + IF(A37&gt;=65, MAX(0, ProvAgeAmount - MAX(0, AE37-ProvAgeThreshold)*ProvAgeClawRate), 0) + IF(OR(H37&gt;0, I37&gt;0), ProvPensionCredit, 0)) * ProvCreditRate)-SurtaxThreshold1)*SurtaxRate1) + MAX(0, (MAX(0, SUMPRODUCT(MAX(MIN(AE37,ProvBracketMax)-ProvBracketMin,0)*ProvBracketRate) - (ProvBasicPersonal + IF(A37&gt;=65, MAX(0, ProvAgeAmount - MAX(0, AE37-ProvAgeThreshold)*ProvAgeClawRate), 0) + IF(OR(H37&gt;0, I37&gt;0), ProvPensionCredit, 0)) * ProvCreditRate)-SurtaxThreshold2)*SurtaxRate2)</f>
      </c>
      <c r="AH37" s="14">
        <f>AF37+AG37</f>
      </c>
      <c r="AI37" s="14">
        <f>E37+F37+AC37+H37+Z37+T37+V37+AA37-AH37</f>
      </c>
      <c r="AJ37" s="14">
        <f>AI37-M37-N37-O37</f>
      </c>
      <c r="AK37" s="14">
        <f>IF(AJ37&gt;0, MIN(AJ37, Assumptions_TfsaAnnualLimit), 0)</f>
      </c>
      <c r="AL37" s="14">
        <f>MAX(0,AL36-Z37)*(1+Assumptions_RealReturn)</f>
      </c>
      <c r="AM37" s="14">
        <f>MAX(0,AM36-T37+AK37)*(1+Assumptions_TfsaReturn)</f>
      </c>
      <c r="AN37" s="14">
        <f>MAX(0,AN36-V37+MAX(0,AJ37-AK37))*(1+Assumptions_NonRegReturn)</f>
      </c>
      <c r="AO37" s="14">
        <f>MAX(0,AO36-AA37)*(1+Assumptions_RealReturn)</f>
      </c>
      <c r="AP37" s="14">
        <f>IF(N37&gt;0, MAX(0, AP36*(1+Assumptions_MortgageRate)-N37), 0)</f>
      </c>
      <c r="AQ37" s="14">
        <f>AL37+AM37+AN37+AO37</f>
      </c>
      <c r="AR37" s="14">
        <f>AQ37+Assumptions_RealEstateValue-AP37</f>
      </c>
      <c r="AS37" s="14">
        <f>MAX(0,AS36*MAX(0,AN36-V37)/IF(AN36&gt;0,AN36,1))+MAX(0,AJ37-AK37)</f>
      </c>
    </row>
    <row r="38" spans="1:45" x14ac:dyDescent="0.25">
      <c r="A38" s="15">
        <f>A37+1</f>
      </c>
      <c r="B38" s="15">
        <f>2026+(A38-Assumptions_CurrentAge)</f>
      </c>
      <c r="C38" s="15">
        <f>IF(A38&gt;=Assumptions_RetirementAge,1,0)</f>
      </c>
      <c r="D38" s="17">
        <f>(1+Assumptions_Inflation)^(A38-Assumptions_CurrentAge)</f>
      </c>
      <c r="E38" s="14">
        <f>IF(AND(C38=0,Assumptions_StillWorking=1),Assumptions_EmploymentIncome*D38,0)</f>
      </c>
      <c r="F38" s="14">
        <f>IF(A38&gt;=Assumptions_CppStartAge, Assumptions_CppMonthly*12*IF((Assumptions_CppStartAge-65)*12&lt;0, 1+(Assumptions_CppStartAge-65)*12*CppEarlyReduction, 1+(Assumptions_CppStartAge-65)*12*CppLateIncrease)*D38, 0)</f>
      </c>
      <c r="G38" s="14">
        <f>IF(A38&gt;=Assumptions_OasStartAge, Assumptions_OasMonthly*12*(1+MAX(0, MIN(Assumptions_OasStartAge, OasMaxDeferAge)-OasStdStartAge)*12*OasDeferralBonus)*D38, 0)</f>
      </c>
      <c r="H38" s="14">
        <f>IF(AND(Assumptions_PensionType="db",A38&gt;=Assumptions_DbPensionStartAge), IF(Assumptions_DbPensionIndexed=1, Assumptions_DbPensionAnnual*D38, Assumptions_DbPensionAnnual), 0)</f>
      </c>
      <c r="I38" s="14">
        <f>IF(AND(A38&gt;=72,AL37&gt;0), VLOOKUP(MIN(A38,95),RrifRates,2,TRUE)*AL37, 0)</f>
      </c>
      <c r="J38" s="14">
        <f>IF(AND(Assumptions_MeltdownEnabled=1,A38&gt;=Assumptions_MeltdownStartAge,A38&lt;Assumptions_MeltdownTargetAge), MIN(Assumptions_MeltdownAnnual,AL37), 0)</f>
      </c>
      <c r="K38" s="14">
        <f>MIN(MAX(I38,J38),AL37)</f>
      </c>
      <c r="L38" s="14">
        <f>E38+F38+G38+H38+K38</f>
      </c>
      <c r="M38" s="14">
        <f>IF(C38=1, Assumptions_MonthlyExpenses*12*(1-Assumptions_ExpenseReduction), Assumptions_MonthlyExpenses*12)*D38</f>
      </c>
      <c r="N38" s="14">
        <f>IF(AND(AP37&gt;0, (A38-Assumptions_CurrentAge)&lt;Assumptions_MortgageYears), IF(Assumptions_MortgageRate=0, AP37/MAX(1,Assumptions_MortgageYears-(A38-Assumptions_CurrentAge)), AP37*Assumptions_MortgageRate*(1+Assumptions_MortgageRate)^MAX(1,Assumptions_MortgageYears-(A38-Assumptions_CurrentAge))/((1+Assumptions_MortgageRate)^MAX(1,Assumptions_MortgageYears-(A38-Assumptions_CurrentAge))-1)), 0)</f>
      </c>
      <c r="O38" s="14">
        <f>IF(AND(Assumptions_ConsumerDebt&gt;0, A38&lt;Assumptions_ConsumerPayoffAge), IF(Assumptions_ConsumerDebtRate=0, Assumptions_ConsumerDebt/MAX(1,Assumptions_ConsumerPayoffAge-Assumptions_CurrentAge-(A38-Assumptions_CurrentAge)), Assumptions_ConsumerDebt*Assumptions_ConsumerDebtRate*(1+Assumptions_ConsumerDebtRate)^MAX(1,Assumptions_ConsumerPayoffAge-Assumptions_CurrentAge-(A38-Assumptions_CurrentAge))/((1+Assumptions_ConsumerDebtRate)^MAX(1,Assumptions_ConsumerPayoffAge-Assumptions_CurrentAge-(A38-Assumptions_CurrentAge))-1)), 0)+IF(AND(Assumptions_OtherDebt&gt;0, A38&lt;Assumptions_OtherPayoffAge), IF(Assumptions_OtherDebtRate=0, Assumptions_OtherDebt/MAX(1,Assumptions_OtherPayoffAge-Assumptions_CurrentAge-(A38-Assumptions_CurrentAge)), Assumptions_OtherDebt*Assumptions_OtherDebtRate*(1+Assumptions_OtherDebtRate)^MAX(1,Assumptions_OtherPayoffAge-Assumptions_CurrentAge-(A38-Assumptions_CurrentAge))/((1+Assumptions_OtherDebtRate)^MAX(1,Assumptions_OtherPayoffAge-Assumptions_CurrentAge-(A38-Assumptions_CurrentAge))-1)), 0)</f>
      </c>
      <c r="P38" s="14">
        <f>M38+N38+O38</f>
      </c>
      <c r="Q38" s="14">
        <f>IF(L38&lt;=0, 0, MAX(0, SUMPRODUCT(MAX(MIN(L38,FedBracketMax)-FedBracketMin,0)*FedBracketRate) - (FedBasicPersonal + IF(A38&gt;=65, MAX(0, FedAgeAmount - MAX(0, L38-FedAgeThreshold)*FedAgeClawRate), 0) + IF(OR(H38&gt;0, I38&gt;0), FedPensionCredit, 0)) * FedCreditRate))</f>
      </c>
      <c r="R38" s="14">
        <f>L38-Q38</f>
      </c>
      <c r="S38" s="14">
        <f>MAX(0,P38-R38)</f>
      </c>
      <c r="T38" s="14">
        <f>MIN(S38,AM37)</f>
      </c>
      <c r="U38" s="14">
        <f>MAX(0,S38-T38)</f>
      </c>
      <c r="V38" s="14">
        <f>MIN(U38,AN37)</f>
      </c>
      <c r="W38" s="14">
        <f>MAX(0,U38-V38)</f>
      </c>
      <c r="X38" s="16">
        <f>INDEX(FedBracketRate,MATCH(L38,FedBracketMin,1))+INDEX(ProvBracketRate,MATCH(L38,ProvBracketMin,1))</f>
      </c>
      <c r="Y38" s="14">
        <f>IF(W38&gt;0, MIN(IF(X38&gt;=1, W38, W38/(1-X38)), MAX(0,AL37-K38)), 0)</f>
      </c>
      <c r="Z38" s="14">
        <f>K38+Y38</f>
      </c>
      <c r="AA38" s="14">
        <f>IF(W38&gt;Y38*(1-X38), MIN(MAX(0,W38-Y38*(1-X38)),AO37), 0)</f>
      </c>
      <c r="AB38" s="14">
        <f>MIN(Assumptions_OasMaxAnnual, MAX(0,(E38+F38+G38+H38+Z38-Assumptions_OasClawbackThresh)*Assumptions_OasClawbackRate))</f>
      </c>
      <c r="AC38" s="14">
        <f>MAX(0,G38-AB38)</f>
      </c>
      <c r="AD38" s="14">
        <f>V38*IF(AN37&gt;0, MAX(0,1-AS37/AN37), 0)*Assumptions_CapGainsRate</f>
      </c>
      <c r="AE38" s="14">
        <f>E38+F38+AC38+H38+Z38+AD38</f>
      </c>
      <c r="AF38" s="14">
        <f>MAX(0, SUMPRODUCT(MAX(MIN(AE38,FedBracketMax)-FedBracketMin,0)*FedBracketRate) - (FedBasicPersonal + IF(A38&gt;=65, MAX(0, FedAgeAmount - MAX(0, AE38-FedAgeThreshold)*FedAgeClawRate), 0) + IF(OR(H38&gt;0, I38&gt;0), FedPensionCredit, 0)) * FedCreditRate)</f>
      </c>
      <c r="AG38" s="14">
        <f>MAX(0, SUMPRODUCT(MAX(MIN(AE38,ProvBracketMax)-ProvBracketMin,0)*ProvBracketRate) - (ProvBasicPersonal + IF(A38&gt;=65, MAX(0, ProvAgeAmount - MAX(0, AE38-ProvAgeThreshold)*ProvAgeClawRate), 0) + IF(OR(H38&gt;0, I38&gt;0), ProvPensionCredit, 0)) * ProvCreditRate) + MAX(0, (MAX(0, SUMPRODUCT(MAX(MIN(AE38,ProvBracketMax)-ProvBracketMin,0)*ProvBracketRate) - (ProvBasicPersonal + IF(A38&gt;=65, MAX(0, ProvAgeAmount - MAX(0, AE38-ProvAgeThreshold)*ProvAgeClawRate), 0) + IF(OR(H38&gt;0, I38&gt;0), ProvPensionCredit, 0)) * ProvCreditRate)-SurtaxThreshold1)*SurtaxRate1) + MAX(0, (MAX(0, SUMPRODUCT(MAX(MIN(AE38,ProvBracketMax)-ProvBracketMin,0)*ProvBracketRate) - (ProvBasicPersonal + IF(A38&gt;=65, MAX(0, ProvAgeAmount - MAX(0, AE38-ProvAgeThreshold)*ProvAgeClawRate), 0) + IF(OR(H38&gt;0, I38&gt;0), ProvPensionCredit, 0)) * ProvCreditRate)-SurtaxThreshold2)*SurtaxRate2)</f>
      </c>
      <c r="AH38" s="14">
        <f>AF38+AG38</f>
      </c>
      <c r="AI38" s="14">
        <f>E38+F38+AC38+H38+Z38+T38+V38+AA38-AH38</f>
      </c>
      <c r="AJ38" s="14">
        <f>AI38-M38-N38-O38</f>
      </c>
      <c r="AK38" s="14">
        <f>IF(AJ38&gt;0, MIN(AJ38, Assumptions_TfsaAnnualLimit), 0)</f>
      </c>
      <c r="AL38" s="14">
        <f>MAX(0,AL37-Z38)*(1+Assumptions_RealReturn)</f>
      </c>
      <c r="AM38" s="14">
        <f>MAX(0,AM37-T38+AK38)*(1+Assumptions_TfsaReturn)</f>
      </c>
      <c r="AN38" s="14">
        <f>MAX(0,AN37-V38+MAX(0,AJ38-AK38))*(1+Assumptions_NonRegReturn)</f>
      </c>
      <c r="AO38" s="14">
        <f>MAX(0,AO37-AA38)*(1+Assumptions_RealReturn)</f>
      </c>
      <c r="AP38" s="14">
        <f>IF(N38&gt;0, MAX(0, AP37*(1+Assumptions_MortgageRate)-N38), 0)</f>
      </c>
      <c r="AQ38" s="14">
        <f>AL38+AM38+AN38+AO38</f>
      </c>
      <c r="AR38" s="14">
        <f>AQ38+Assumptions_RealEstateValue-AP38</f>
      </c>
      <c r="AS38" s="14">
        <f>MAX(0,AS37*MAX(0,AN37-V38)/IF(AN37&gt;0,AN37,1))+MAX(0,AJ38-AK38)</f>
      </c>
    </row>
    <row r="39" spans="1:45" x14ac:dyDescent="0.25">
      <c r="A39" s="15">
        <f>A38+1</f>
      </c>
      <c r="B39" s="15">
        <f>2026+(A39-Assumptions_CurrentAge)</f>
      </c>
      <c r="C39" s="15">
        <f>IF(A39&gt;=Assumptions_RetirementAge,1,0)</f>
      </c>
      <c r="D39" s="17">
        <f>(1+Assumptions_Inflation)^(A39-Assumptions_CurrentAge)</f>
      </c>
      <c r="E39" s="14">
        <f>IF(AND(C39=0,Assumptions_StillWorking=1),Assumptions_EmploymentIncome*D39,0)</f>
      </c>
      <c r="F39" s="14">
        <f>IF(A39&gt;=Assumptions_CppStartAge, Assumptions_CppMonthly*12*IF((Assumptions_CppStartAge-65)*12&lt;0, 1+(Assumptions_CppStartAge-65)*12*CppEarlyReduction, 1+(Assumptions_CppStartAge-65)*12*CppLateIncrease)*D39, 0)</f>
      </c>
      <c r="G39" s="14">
        <f>IF(A39&gt;=Assumptions_OasStartAge, Assumptions_OasMonthly*12*(1+MAX(0, MIN(Assumptions_OasStartAge, OasMaxDeferAge)-OasStdStartAge)*12*OasDeferralBonus)*D39, 0)</f>
      </c>
      <c r="H39" s="14">
        <f>IF(AND(Assumptions_PensionType="db",A39&gt;=Assumptions_DbPensionStartAge), IF(Assumptions_DbPensionIndexed=1, Assumptions_DbPensionAnnual*D39, Assumptions_DbPensionAnnual), 0)</f>
      </c>
      <c r="I39" s="14">
        <f>IF(AND(A39&gt;=72,AL38&gt;0), VLOOKUP(MIN(A39,95),RrifRates,2,TRUE)*AL38, 0)</f>
      </c>
      <c r="J39" s="14">
        <f>IF(AND(Assumptions_MeltdownEnabled=1,A39&gt;=Assumptions_MeltdownStartAge,A39&lt;Assumptions_MeltdownTargetAge), MIN(Assumptions_MeltdownAnnual,AL38), 0)</f>
      </c>
      <c r="K39" s="14">
        <f>MIN(MAX(I39,J39),AL38)</f>
      </c>
      <c r="L39" s="14">
        <f>E39+F39+G39+H39+K39</f>
      </c>
      <c r="M39" s="14">
        <f>IF(C39=1, Assumptions_MonthlyExpenses*12*(1-Assumptions_ExpenseReduction), Assumptions_MonthlyExpenses*12)*D39</f>
      </c>
      <c r="N39" s="14">
        <f>IF(AND(AP38&gt;0, (A39-Assumptions_CurrentAge)&lt;Assumptions_MortgageYears), IF(Assumptions_MortgageRate=0, AP38/MAX(1,Assumptions_MortgageYears-(A39-Assumptions_CurrentAge)), AP38*Assumptions_MortgageRate*(1+Assumptions_MortgageRate)^MAX(1,Assumptions_MortgageYears-(A39-Assumptions_CurrentAge))/((1+Assumptions_MortgageRate)^MAX(1,Assumptions_MortgageYears-(A39-Assumptions_CurrentAge))-1)), 0)</f>
      </c>
      <c r="O39" s="14">
        <f>IF(AND(Assumptions_ConsumerDebt&gt;0, A39&lt;Assumptions_ConsumerPayoffAge), IF(Assumptions_ConsumerDebtRate=0, Assumptions_ConsumerDebt/MAX(1,Assumptions_ConsumerPayoffAge-Assumptions_CurrentAge-(A39-Assumptions_CurrentAge)), Assumptions_ConsumerDebt*Assumptions_ConsumerDebtRate*(1+Assumptions_ConsumerDebtRate)^MAX(1,Assumptions_ConsumerPayoffAge-Assumptions_CurrentAge-(A39-Assumptions_CurrentAge))/((1+Assumptions_ConsumerDebtRate)^MAX(1,Assumptions_ConsumerPayoffAge-Assumptions_CurrentAge-(A39-Assumptions_CurrentAge))-1)), 0)+IF(AND(Assumptions_OtherDebt&gt;0, A39&lt;Assumptions_OtherPayoffAge), IF(Assumptions_OtherDebtRate=0, Assumptions_OtherDebt/MAX(1,Assumptions_OtherPayoffAge-Assumptions_CurrentAge-(A39-Assumptions_CurrentAge)), Assumptions_OtherDebt*Assumptions_OtherDebtRate*(1+Assumptions_OtherDebtRate)^MAX(1,Assumptions_OtherPayoffAge-Assumptions_CurrentAge-(A39-Assumptions_CurrentAge))/((1+Assumptions_OtherDebtRate)^MAX(1,Assumptions_OtherPayoffAge-Assumptions_CurrentAge-(A39-Assumptions_CurrentAge))-1)), 0)</f>
      </c>
      <c r="P39" s="14">
        <f>M39+N39+O39</f>
      </c>
      <c r="Q39" s="14">
        <f>IF(L39&lt;=0, 0, MAX(0, SUMPRODUCT(MAX(MIN(L39,FedBracketMax)-FedBracketMin,0)*FedBracketRate) - (FedBasicPersonal + IF(A39&gt;=65, MAX(0, FedAgeAmount - MAX(0, L39-FedAgeThreshold)*FedAgeClawRate), 0) + IF(OR(H39&gt;0, I39&gt;0), FedPensionCredit, 0)) * FedCreditRate))</f>
      </c>
      <c r="R39" s="14">
        <f>L39-Q39</f>
      </c>
      <c r="S39" s="14">
        <f>MAX(0,P39-R39)</f>
      </c>
      <c r="T39" s="14">
        <f>MIN(S39,AM38)</f>
      </c>
      <c r="U39" s="14">
        <f>MAX(0,S39-T39)</f>
      </c>
      <c r="V39" s="14">
        <f>MIN(U39,AN38)</f>
      </c>
      <c r="W39" s="14">
        <f>MAX(0,U39-V39)</f>
      </c>
      <c r="X39" s="16">
        <f>INDEX(FedBracketRate,MATCH(L39,FedBracketMin,1))+INDEX(ProvBracketRate,MATCH(L39,ProvBracketMin,1))</f>
      </c>
      <c r="Y39" s="14">
        <f>IF(W39&gt;0, MIN(IF(X39&gt;=1, W39, W39/(1-X39)), MAX(0,AL38-K39)), 0)</f>
      </c>
      <c r="Z39" s="14">
        <f>K39+Y39</f>
      </c>
      <c r="AA39" s="14">
        <f>IF(W39&gt;Y39*(1-X39), MIN(MAX(0,W39-Y39*(1-X39)),AO38), 0)</f>
      </c>
      <c r="AB39" s="14">
        <f>MIN(Assumptions_OasMaxAnnual, MAX(0,(E39+F39+G39+H39+Z39-Assumptions_OasClawbackThresh)*Assumptions_OasClawbackRate))</f>
      </c>
      <c r="AC39" s="14">
        <f>MAX(0,G39-AB39)</f>
      </c>
      <c r="AD39" s="14">
        <f>V39*IF(AN38&gt;0, MAX(0,1-AS38/AN38), 0)*Assumptions_CapGainsRate</f>
      </c>
      <c r="AE39" s="14">
        <f>E39+F39+AC39+H39+Z39+AD39</f>
      </c>
      <c r="AF39" s="14">
        <f>MAX(0, SUMPRODUCT(MAX(MIN(AE39,FedBracketMax)-FedBracketMin,0)*FedBracketRate) - (FedBasicPersonal + IF(A39&gt;=65, MAX(0, FedAgeAmount - MAX(0, AE39-FedAgeThreshold)*FedAgeClawRate), 0) + IF(OR(H39&gt;0, I39&gt;0), FedPensionCredit, 0)) * FedCreditRate)</f>
      </c>
      <c r="AG39" s="14">
        <f>MAX(0, SUMPRODUCT(MAX(MIN(AE39,ProvBracketMax)-ProvBracketMin,0)*ProvBracketRate) - (ProvBasicPersonal + IF(A39&gt;=65, MAX(0, ProvAgeAmount - MAX(0, AE39-ProvAgeThreshold)*ProvAgeClawRate), 0) + IF(OR(H39&gt;0, I39&gt;0), ProvPensionCredit, 0)) * ProvCreditRate) + MAX(0, (MAX(0, SUMPRODUCT(MAX(MIN(AE39,ProvBracketMax)-ProvBracketMin,0)*ProvBracketRate) - (ProvBasicPersonal + IF(A39&gt;=65, MAX(0, ProvAgeAmount - MAX(0, AE39-ProvAgeThreshold)*ProvAgeClawRate), 0) + IF(OR(H39&gt;0, I39&gt;0), ProvPensionCredit, 0)) * ProvCreditRate)-SurtaxThreshold1)*SurtaxRate1) + MAX(0, (MAX(0, SUMPRODUCT(MAX(MIN(AE39,ProvBracketMax)-ProvBracketMin,0)*ProvBracketRate) - (ProvBasicPersonal + IF(A39&gt;=65, MAX(0, ProvAgeAmount - MAX(0, AE39-ProvAgeThreshold)*ProvAgeClawRate), 0) + IF(OR(H39&gt;0, I39&gt;0), ProvPensionCredit, 0)) * ProvCreditRate)-SurtaxThreshold2)*SurtaxRate2)</f>
      </c>
      <c r="AH39" s="14">
        <f>AF39+AG39</f>
      </c>
      <c r="AI39" s="14">
        <f>E39+F39+AC39+H39+Z39+T39+V39+AA39-AH39</f>
      </c>
      <c r="AJ39" s="14">
        <f>AI39-M39-N39-O39</f>
      </c>
      <c r="AK39" s="14">
        <f>IF(AJ39&gt;0, MIN(AJ39, Assumptions_TfsaAnnualLimit), 0)</f>
      </c>
      <c r="AL39" s="14">
        <f>MAX(0,AL38-Z39)*(1+Assumptions_RealReturn)</f>
      </c>
      <c r="AM39" s="14">
        <f>MAX(0,AM38-T39+AK39)*(1+Assumptions_TfsaReturn)</f>
      </c>
      <c r="AN39" s="14">
        <f>MAX(0,AN38-V39+MAX(0,AJ39-AK39))*(1+Assumptions_NonRegReturn)</f>
      </c>
      <c r="AO39" s="14">
        <f>MAX(0,AO38-AA39)*(1+Assumptions_RealReturn)</f>
      </c>
      <c r="AP39" s="14">
        <f>IF(N39&gt;0, MAX(0, AP38*(1+Assumptions_MortgageRate)-N39), 0)</f>
      </c>
      <c r="AQ39" s="14">
        <f>AL39+AM39+AN39+AO39</f>
      </c>
      <c r="AR39" s="14">
        <f>AQ39+Assumptions_RealEstateValue-AP39</f>
      </c>
      <c r="AS39" s="14">
        <f>MAX(0,AS38*MAX(0,AN38-V39)/IF(AN38&gt;0,AN38,1))+MAX(0,AJ39-AK39)</f>
      </c>
    </row>
    <row r="40" spans="1:45" x14ac:dyDescent="0.25">
      <c r="A40" s="15">
        <f>A39+1</f>
      </c>
      <c r="B40" s="15">
        <f>2026+(A40-Assumptions_CurrentAge)</f>
      </c>
      <c r="C40" s="15">
        <f>IF(A40&gt;=Assumptions_RetirementAge,1,0)</f>
      </c>
      <c r="D40" s="17">
        <f>(1+Assumptions_Inflation)^(A40-Assumptions_CurrentAge)</f>
      </c>
      <c r="E40" s="14">
        <f>IF(AND(C40=0,Assumptions_StillWorking=1),Assumptions_EmploymentIncome*D40,0)</f>
      </c>
      <c r="F40" s="14">
        <f>IF(A40&gt;=Assumptions_CppStartAge, Assumptions_CppMonthly*12*IF((Assumptions_CppStartAge-65)*12&lt;0, 1+(Assumptions_CppStartAge-65)*12*CppEarlyReduction, 1+(Assumptions_CppStartAge-65)*12*CppLateIncrease)*D40, 0)</f>
      </c>
      <c r="G40" s="14">
        <f>IF(A40&gt;=Assumptions_OasStartAge, Assumptions_OasMonthly*12*(1+MAX(0, MIN(Assumptions_OasStartAge, OasMaxDeferAge)-OasStdStartAge)*12*OasDeferralBonus)*D40, 0)</f>
      </c>
      <c r="H40" s="14">
        <f>IF(AND(Assumptions_PensionType="db",A40&gt;=Assumptions_DbPensionStartAge), IF(Assumptions_DbPensionIndexed=1, Assumptions_DbPensionAnnual*D40, Assumptions_DbPensionAnnual), 0)</f>
      </c>
      <c r="I40" s="14">
        <f>IF(AND(A40&gt;=72,AL39&gt;0), VLOOKUP(MIN(A40,95),RrifRates,2,TRUE)*AL39, 0)</f>
      </c>
      <c r="J40" s="14">
        <f>IF(AND(Assumptions_MeltdownEnabled=1,A40&gt;=Assumptions_MeltdownStartAge,A40&lt;Assumptions_MeltdownTargetAge), MIN(Assumptions_MeltdownAnnual,AL39), 0)</f>
      </c>
      <c r="K40" s="14">
        <f>MIN(MAX(I40,J40),AL39)</f>
      </c>
      <c r="L40" s="14">
        <f>E40+F40+G40+H40+K40</f>
      </c>
      <c r="M40" s="14">
        <f>IF(C40=1, Assumptions_MonthlyExpenses*12*(1-Assumptions_ExpenseReduction), Assumptions_MonthlyExpenses*12)*D40</f>
      </c>
      <c r="N40" s="14">
        <f>IF(AND(AP39&gt;0, (A40-Assumptions_CurrentAge)&lt;Assumptions_MortgageYears), IF(Assumptions_MortgageRate=0, AP39/MAX(1,Assumptions_MortgageYears-(A40-Assumptions_CurrentAge)), AP39*Assumptions_MortgageRate*(1+Assumptions_MortgageRate)^MAX(1,Assumptions_MortgageYears-(A40-Assumptions_CurrentAge))/((1+Assumptions_MortgageRate)^MAX(1,Assumptions_MortgageYears-(A40-Assumptions_CurrentAge))-1)), 0)</f>
      </c>
      <c r="O40" s="14">
        <f>IF(AND(Assumptions_ConsumerDebt&gt;0, A40&lt;Assumptions_ConsumerPayoffAge), IF(Assumptions_ConsumerDebtRate=0, Assumptions_ConsumerDebt/MAX(1,Assumptions_ConsumerPayoffAge-Assumptions_CurrentAge-(A40-Assumptions_CurrentAge)), Assumptions_ConsumerDebt*Assumptions_ConsumerDebtRate*(1+Assumptions_ConsumerDebtRate)^MAX(1,Assumptions_ConsumerPayoffAge-Assumptions_CurrentAge-(A40-Assumptions_CurrentAge))/((1+Assumptions_ConsumerDebtRate)^MAX(1,Assumptions_ConsumerPayoffAge-Assumptions_CurrentAge-(A40-Assumptions_CurrentAge))-1)), 0)+IF(AND(Assumptions_OtherDebt&gt;0, A40&lt;Assumptions_OtherPayoffAge), IF(Assumptions_OtherDebtRate=0, Assumptions_OtherDebt/MAX(1,Assumptions_OtherPayoffAge-Assumptions_CurrentAge-(A40-Assumptions_CurrentAge)), Assumptions_OtherDebt*Assumptions_OtherDebtRate*(1+Assumptions_OtherDebtRate)^MAX(1,Assumptions_OtherPayoffAge-Assumptions_CurrentAge-(A40-Assumptions_CurrentAge))/((1+Assumptions_OtherDebtRate)^MAX(1,Assumptions_OtherPayoffAge-Assumptions_CurrentAge-(A40-Assumptions_CurrentAge))-1)), 0)</f>
      </c>
      <c r="P40" s="14">
        <f>M40+N40+O40</f>
      </c>
      <c r="Q40" s="14">
        <f>IF(L40&lt;=0, 0, MAX(0, SUMPRODUCT(MAX(MIN(L40,FedBracketMax)-FedBracketMin,0)*FedBracketRate) - (FedBasicPersonal + IF(A40&gt;=65, MAX(0, FedAgeAmount - MAX(0, L40-FedAgeThreshold)*FedAgeClawRate), 0) + IF(OR(H40&gt;0, I40&gt;0), FedPensionCredit, 0)) * FedCreditRate))</f>
      </c>
      <c r="R40" s="14">
        <f>L40-Q40</f>
      </c>
      <c r="S40" s="14">
        <f>MAX(0,P40-R40)</f>
      </c>
      <c r="T40" s="14">
        <f>MIN(S40,AM39)</f>
      </c>
      <c r="U40" s="14">
        <f>MAX(0,S40-T40)</f>
      </c>
      <c r="V40" s="14">
        <f>MIN(U40,AN39)</f>
      </c>
      <c r="W40" s="14">
        <f>MAX(0,U40-V40)</f>
      </c>
      <c r="X40" s="16">
        <f>INDEX(FedBracketRate,MATCH(L40,FedBracketMin,1))+INDEX(ProvBracketRate,MATCH(L40,ProvBracketMin,1))</f>
      </c>
      <c r="Y40" s="14">
        <f>IF(W40&gt;0, MIN(IF(X40&gt;=1, W40, W40/(1-X40)), MAX(0,AL39-K40)), 0)</f>
      </c>
      <c r="Z40" s="14">
        <f>K40+Y40</f>
      </c>
      <c r="AA40" s="14">
        <f>IF(W40&gt;Y40*(1-X40), MIN(MAX(0,W40-Y40*(1-X40)),AO39), 0)</f>
      </c>
      <c r="AB40" s="14">
        <f>MIN(Assumptions_OasMaxAnnual, MAX(0,(E40+F40+G40+H40+Z40-Assumptions_OasClawbackThresh)*Assumptions_OasClawbackRate))</f>
      </c>
      <c r="AC40" s="14">
        <f>MAX(0,G40-AB40)</f>
      </c>
      <c r="AD40" s="14">
        <f>V40*IF(AN39&gt;0, MAX(0,1-AS39/AN39), 0)*Assumptions_CapGainsRate</f>
      </c>
      <c r="AE40" s="14">
        <f>E40+F40+AC40+H40+Z40+AD40</f>
      </c>
      <c r="AF40" s="14">
        <f>MAX(0, SUMPRODUCT(MAX(MIN(AE40,FedBracketMax)-FedBracketMin,0)*FedBracketRate) - (FedBasicPersonal + IF(A40&gt;=65, MAX(0, FedAgeAmount - MAX(0, AE40-FedAgeThreshold)*FedAgeClawRate), 0) + IF(OR(H40&gt;0, I40&gt;0), FedPensionCredit, 0)) * FedCreditRate)</f>
      </c>
      <c r="AG40" s="14">
        <f>MAX(0, SUMPRODUCT(MAX(MIN(AE40,ProvBracketMax)-ProvBracketMin,0)*ProvBracketRate) - (ProvBasicPersonal + IF(A40&gt;=65, MAX(0, ProvAgeAmount - MAX(0, AE40-ProvAgeThreshold)*ProvAgeClawRate), 0) + IF(OR(H40&gt;0, I40&gt;0), ProvPensionCredit, 0)) * ProvCreditRate) + MAX(0, (MAX(0, SUMPRODUCT(MAX(MIN(AE40,ProvBracketMax)-ProvBracketMin,0)*ProvBracketRate) - (ProvBasicPersonal + IF(A40&gt;=65, MAX(0, ProvAgeAmount - MAX(0, AE40-ProvAgeThreshold)*ProvAgeClawRate), 0) + IF(OR(H40&gt;0, I40&gt;0), ProvPensionCredit, 0)) * ProvCreditRate)-SurtaxThreshold1)*SurtaxRate1) + MAX(0, (MAX(0, SUMPRODUCT(MAX(MIN(AE40,ProvBracketMax)-ProvBracketMin,0)*ProvBracketRate) - (ProvBasicPersonal + IF(A40&gt;=65, MAX(0, ProvAgeAmount - MAX(0, AE40-ProvAgeThreshold)*ProvAgeClawRate), 0) + IF(OR(H40&gt;0, I40&gt;0), ProvPensionCredit, 0)) * ProvCreditRate)-SurtaxThreshold2)*SurtaxRate2)</f>
      </c>
      <c r="AH40" s="14">
        <f>AF40+AG40</f>
      </c>
      <c r="AI40" s="14">
        <f>E40+F40+AC40+H40+Z40+T40+V40+AA40-AH40</f>
      </c>
      <c r="AJ40" s="14">
        <f>AI40-M40-N40-O40</f>
      </c>
      <c r="AK40" s="14">
        <f>IF(AJ40&gt;0, MIN(AJ40, Assumptions_TfsaAnnualLimit), 0)</f>
      </c>
      <c r="AL40" s="14">
        <f>MAX(0,AL39-Z40)*(1+Assumptions_RealReturn)</f>
      </c>
      <c r="AM40" s="14">
        <f>MAX(0,AM39-T40+AK40)*(1+Assumptions_TfsaReturn)</f>
      </c>
      <c r="AN40" s="14">
        <f>MAX(0,AN39-V40+MAX(0,AJ40-AK40))*(1+Assumptions_NonRegReturn)</f>
      </c>
      <c r="AO40" s="14">
        <f>MAX(0,AO39-AA40)*(1+Assumptions_RealReturn)</f>
      </c>
      <c r="AP40" s="14">
        <f>IF(N40&gt;0, MAX(0, AP39*(1+Assumptions_MortgageRate)-N40), 0)</f>
      </c>
      <c r="AQ40" s="14">
        <f>AL40+AM40+AN40+AO40</f>
      </c>
      <c r="AR40" s="14">
        <f>AQ40+Assumptions_RealEstateValue-AP40</f>
      </c>
      <c r="AS40" s="14">
        <f>MAX(0,AS39*MAX(0,AN39-V40)/IF(AN39&gt;0,AN39,1))+MAX(0,AJ40-AK40)</f>
      </c>
    </row>
    <row r="41" spans="1:45" x14ac:dyDescent="0.25">
      <c r="A41" s="15">
        <f>A40+1</f>
      </c>
      <c r="B41" s="15">
        <f>2026+(A41-Assumptions_CurrentAge)</f>
      </c>
      <c r="C41" s="15">
        <f>IF(A41&gt;=Assumptions_RetirementAge,1,0)</f>
      </c>
      <c r="D41" s="17">
        <f>(1+Assumptions_Inflation)^(A41-Assumptions_CurrentAge)</f>
      </c>
      <c r="E41" s="14">
        <f>IF(AND(C41=0,Assumptions_StillWorking=1),Assumptions_EmploymentIncome*D41,0)</f>
      </c>
      <c r="F41" s="14">
        <f>IF(A41&gt;=Assumptions_CppStartAge, Assumptions_CppMonthly*12*IF((Assumptions_CppStartAge-65)*12&lt;0, 1+(Assumptions_CppStartAge-65)*12*CppEarlyReduction, 1+(Assumptions_CppStartAge-65)*12*CppLateIncrease)*D41, 0)</f>
      </c>
      <c r="G41" s="14">
        <f>IF(A41&gt;=Assumptions_OasStartAge, Assumptions_OasMonthly*12*(1+MAX(0, MIN(Assumptions_OasStartAge, OasMaxDeferAge)-OasStdStartAge)*12*OasDeferralBonus)*D41, 0)</f>
      </c>
      <c r="H41" s="14">
        <f>IF(AND(Assumptions_PensionType="db",A41&gt;=Assumptions_DbPensionStartAge), IF(Assumptions_DbPensionIndexed=1, Assumptions_DbPensionAnnual*D41, Assumptions_DbPensionAnnual), 0)</f>
      </c>
      <c r="I41" s="14">
        <f>IF(AND(A41&gt;=72,AL40&gt;0), VLOOKUP(MIN(A41,95),RrifRates,2,TRUE)*AL40, 0)</f>
      </c>
      <c r="J41" s="14">
        <f>IF(AND(Assumptions_MeltdownEnabled=1,A41&gt;=Assumptions_MeltdownStartAge,A41&lt;Assumptions_MeltdownTargetAge), MIN(Assumptions_MeltdownAnnual,AL40), 0)</f>
      </c>
      <c r="K41" s="14">
        <f>MIN(MAX(I41,J41),AL40)</f>
      </c>
      <c r="L41" s="14">
        <f>E41+F41+G41+H41+K41</f>
      </c>
      <c r="M41" s="14">
        <f>IF(C41=1, Assumptions_MonthlyExpenses*12*(1-Assumptions_ExpenseReduction), Assumptions_MonthlyExpenses*12)*D41</f>
      </c>
      <c r="N41" s="14">
        <f>IF(AND(AP40&gt;0, (A41-Assumptions_CurrentAge)&lt;Assumptions_MortgageYears), IF(Assumptions_MortgageRate=0, AP40/MAX(1,Assumptions_MortgageYears-(A41-Assumptions_CurrentAge)), AP40*Assumptions_MortgageRate*(1+Assumptions_MortgageRate)^MAX(1,Assumptions_MortgageYears-(A41-Assumptions_CurrentAge))/((1+Assumptions_MortgageRate)^MAX(1,Assumptions_MortgageYears-(A41-Assumptions_CurrentAge))-1)), 0)</f>
      </c>
      <c r="O41" s="14">
        <f>IF(AND(Assumptions_ConsumerDebt&gt;0, A41&lt;Assumptions_ConsumerPayoffAge), IF(Assumptions_ConsumerDebtRate=0, Assumptions_ConsumerDebt/MAX(1,Assumptions_ConsumerPayoffAge-Assumptions_CurrentAge-(A41-Assumptions_CurrentAge)), Assumptions_ConsumerDebt*Assumptions_ConsumerDebtRate*(1+Assumptions_ConsumerDebtRate)^MAX(1,Assumptions_ConsumerPayoffAge-Assumptions_CurrentAge-(A41-Assumptions_CurrentAge))/((1+Assumptions_ConsumerDebtRate)^MAX(1,Assumptions_ConsumerPayoffAge-Assumptions_CurrentAge-(A41-Assumptions_CurrentAge))-1)), 0)+IF(AND(Assumptions_OtherDebt&gt;0, A41&lt;Assumptions_OtherPayoffAge), IF(Assumptions_OtherDebtRate=0, Assumptions_OtherDebt/MAX(1,Assumptions_OtherPayoffAge-Assumptions_CurrentAge-(A41-Assumptions_CurrentAge)), Assumptions_OtherDebt*Assumptions_OtherDebtRate*(1+Assumptions_OtherDebtRate)^MAX(1,Assumptions_OtherPayoffAge-Assumptions_CurrentAge-(A41-Assumptions_CurrentAge))/((1+Assumptions_OtherDebtRate)^MAX(1,Assumptions_OtherPayoffAge-Assumptions_CurrentAge-(A41-Assumptions_CurrentAge))-1)), 0)</f>
      </c>
      <c r="P41" s="14">
        <f>M41+N41+O41</f>
      </c>
      <c r="Q41" s="14">
        <f>IF(L41&lt;=0, 0, MAX(0, SUMPRODUCT(MAX(MIN(L41,FedBracketMax)-FedBracketMin,0)*FedBracketRate) - (FedBasicPersonal + IF(A41&gt;=65, MAX(0, FedAgeAmount - MAX(0, L41-FedAgeThreshold)*FedAgeClawRate), 0) + IF(OR(H41&gt;0, I41&gt;0), FedPensionCredit, 0)) * FedCreditRate))</f>
      </c>
      <c r="R41" s="14">
        <f>L41-Q41</f>
      </c>
      <c r="S41" s="14">
        <f>MAX(0,P41-R41)</f>
      </c>
      <c r="T41" s="14">
        <f>MIN(S41,AM40)</f>
      </c>
      <c r="U41" s="14">
        <f>MAX(0,S41-T41)</f>
      </c>
      <c r="V41" s="14">
        <f>MIN(U41,AN40)</f>
      </c>
      <c r="W41" s="14">
        <f>MAX(0,U41-V41)</f>
      </c>
      <c r="X41" s="16">
        <f>INDEX(FedBracketRate,MATCH(L41,FedBracketMin,1))+INDEX(ProvBracketRate,MATCH(L41,ProvBracketMin,1))</f>
      </c>
      <c r="Y41" s="14">
        <f>IF(W41&gt;0, MIN(IF(X41&gt;=1, W41, W41/(1-X41)), MAX(0,AL40-K41)), 0)</f>
      </c>
      <c r="Z41" s="14">
        <f>K41+Y41</f>
      </c>
      <c r="AA41" s="14">
        <f>IF(W41&gt;Y41*(1-X41), MIN(MAX(0,W41-Y41*(1-X41)),AO40), 0)</f>
      </c>
      <c r="AB41" s="14">
        <f>MIN(Assumptions_OasMaxAnnual, MAX(0,(E41+F41+G41+H41+Z41-Assumptions_OasClawbackThresh)*Assumptions_OasClawbackRate))</f>
      </c>
      <c r="AC41" s="14">
        <f>MAX(0,G41-AB41)</f>
      </c>
      <c r="AD41" s="14">
        <f>V41*IF(AN40&gt;0, MAX(0,1-AS40/AN40), 0)*Assumptions_CapGainsRate</f>
      </c>
      <c r="AE41" s="14">
        <f>E41+F41+AC41+H41+Z41+AD41</f>
      </c>
      <c r="AF41" s="14">
        <f>MAX(0, SUMPRODUCT(MAX(MIN(AE41,FedBracketMax)-FedBracketMin,0)*FedBracketRate) - (FedBasicPersonal + IF(A41&gt;=65, MAX(0, FedAgeAmount - MAX(0, AE41-FedAgeThreshold)*FedAgeClawRate), 0) + IF(OR(H41&gt;0, I41&gt;0), FedPensionCredit, 0)) * FedCreditRate)</f>
      </c>
      <c r="AG41" s="14">
        <f>MAX(0, SUMPRODUCT(MAX(MIN(AE41,ProvBracketMax)-ProvBracketMin,0)*ProvBracketRate) - (ProvBasicPersonal + IF(A41&gt;=65, MAX(0, ProvAgeAmount - MAX(0, AE41-ProvAgeThreshold)*ProvAgeClawRate), 0) + IF(OR(H41&gt;0, I41&gt;0), ProvPensionCredit, 0)) * ProvCreditRate) + MAX(0, (MAX(0, SUMPRODUCT(MAX(MIN(AE41,ProvBracketMax)-ProvBracketMin,0)*ProvBracketRate) - (ProvBasicPersonal + IF(A41&gt;=65, MAX(0, ProvAgeAmount - MAX(0, AE41-ProvAgeThreshold)*ProvAgeClawRate), 0) + IF(OR(H41&gt;0, I41&gt;0), ProvPensionCredit, 0)) * ProvCreditRate)-SurtaxThreshold1)*SurtaxRate1) + MAX(0, (MAX(0, SUMPRODUCT(MAX(MIN(AE41,ProvBracketMax)-ProvBracketMin,0)*ProvBracketRate) - (ProvBasicPersonal + IF(A41&gt;=65, MAX(0, ProvAgeAmount - MAX(0, AE41-ProvAgeThreshold)*ProvAgeClawRate), 0) + IF(OR(H41&gt;0, I41&gt;0), ProvPensionCredit, 0)) * ProvCreditRate)-SurtaxThreshold2)*SurtaxRate2)</f>
      </c>
      <c r="AH41" s="14">
        <f>AF41+AG41</f>
      </c>
      <c r="AI41" s="14">
        <f>E41+F41+AC41+H41+Z41+T41+V41+AA41-AH41</f>
      </c>
      <c r="AJ41" s="14">
        <f>AI41-M41-N41-O41</f>
      </c>
      <c r="AK41" s="14">
        <f>IF(AJ41&gt;0, MIN(AJ41, Assumptions_TfsaAnnualLimit), 0)</f>
      </c>
      <c r="AL41" s="14">
        <f>MAX(0,AL40-Z41)*(1+Assumptions_RealReturn)</f>
      </c>
      <c r="AM41" s="14">
        <f>MAX(0,AM40-T41+AK41)*(1+Assumptions_TfsaReturn)</f>
      </c>
      <c r="AN41" s="14">
        <f>MAX(0,AN40-V41+MAX(0,AJ41-AK41))*(1+Assumptions_NonRegReturn)</f>
      </c>
      <c r="AO41" s="14">
        <f>MAX(0,AO40-AA41)*(1+Assumptions_RealReturn)</f>
      </c>
      <c r="AP41" s="14">
        <f>IF(N41&gt;0, MAX(0, AP40*(1+Assumptions_MortgageRate)-N41), 0)</f>
      </c>
      <c r="AQ41" s="14">
        <f>AL41+AM41+AN41+AO41</f>
      </c>
      <c r="AR41" s="14">
        <f>AQ41+Assumptions_RealEstateValue-AP41</f>
      </c>
      <c r="AS41" s="14">
        <f>MAX(0,AS40*MAX(0,AN40-V41)/IF(AN40&gt;0,AN40,1))+MAX(0,AJ41-AK41)</f>
      </c>
    </row>
    <row r="42" spans="1:45" x14ac:dyDescent="0.25">
      <c r="A42" s="15">
        <f>A41+1</f>
      </c>
      <c r="B42" s="15">
        <f>2026+(A42-Assumptions_CurrentAge)</f>
      </c>
      <c r="C42" s="15">
        <f>IF(A42&gt;=Assumptions_RetirementAge,1,0)</f>
      </c>
      <c r="D42" s="17">
        <f>(1+Assumptions_Inflation)^(A42-Assumptions_CurrentAge)</f>
      </c>
      <c r="E42" s="14">
        <f>IF(AND(C42=0,Assumptions_StillWorking=1),Assumptions_EmploymentIncome*D42,0)</f>
      </c>
      <c r="F42" s="14">
        <f>IF(A42&gt;=Assumptions_CppStartAge, Assumptions_CppMonthly*12*IF((Assumptions_CppStartAge-65)*12&lt;0, 1+(Assumptions_CppStartAge-65)*12*CppEarlyReduction, 1+(Assumptions_CppStartAge-65)*12*CppLateIncrease)*D42, 0)</f>
      </c>
      <c r="G42" s="14">
        <f>IF(A42&gt;=Assumptions_OasStartAge, Assumptions_OasMonthly*12*(1+MAX(0, MIN(Assumptions_OasStartAge, OasMaxDeferAge)-OasStdStartAge)*12*OasDeferralBonus)*D42, 0)</f>
      </c>
      <c r="H42" s="14">
        <f>IF(AND(Assumptions_PensionType="db",A42&gt;=Assumptions_DbPensionStartAge), IF(Assumptions_DbPensionIndexed=1, Assumptions_DbPensionAnnual*D42, Assumptions_DbPensionAnnual), 0)</f>
      </c>
      <c r="I42" s="14">
        <f>IF(AND(A42&gt;=72,AL41&gt;0), VLOOKUP(MIN(A42,95),RrifRates,2,TRUE)*AL41, 0)</f>
      </c>
      <c r="J42" s="14">
        <f>IF(AND(Assumptions_MeltdownEnabled=1,A42&gt;=Assumptions_MeltdownStartAge,A42&lt;Assumptions_MeltdownTargetAge), MIN(Assumptions_MeltdownAnnual,AL41), 0)</f>
      </c>
      <c r="K42" s="14">
        <f>MIN(MAX(I42,J42),AL41)</f>
      </c>
      <c r="L42" s="14">
        <f>E42+F42+G42+H42+K42</f>
      </c>
      <c r="M42" s="14">
        <f>IF(C42=1, Assumptions_MonthlyExpenses*12*(1-Assumptions_ExpenseReduction), Assumptions_MonthlyExpenses*12)*D42</f>
      </c>
      <c r="N42" s="14">
        <f>IF(AND(AP41&gt;0, (A42-Assumptions_CurrentAge)&lt;Assumptions_MortgageYears), IF(Assumptions_MortgageRate=0, AP41/MAX(1,Assumptions_MortgageYears-(A42-Assumptions_CurrentAge)), AP41*Assumptions_MortgageRate*(1+Assumptions_MortgageRate)^MAX(1,Assumptions_MortgageYears-(A42-Assumptions_CurrentAge))/((1+Assumptions_MortgageRate)^MAX(1,Assumptions_MortgageYears-(A42-Assumptions_CurrentAge))-1)), 0)</f>
      </c>
      <c r="O42" s="14">
        <f>IF(AND(Assumptions_ConsumerDebt&gt;0, A42&lt;Assumptions_ConsumerPayoffAge), IF(Assumptions_ConsumerDebtRate=0, Assumptions_ConsumerDebt/MAX(1,Assumptions_ConsumerPayoffAge-Assumptions_CurrentAge-(A42-Assumptions_CurrentAge)), Assumptions_ConsumerDebt*Assumptions_ConsumerDebtRate*(1+Assumptions_ConsumerDebtRate)^MAX(1,Assumptions_ConsumerPayoffAge-Assumptions_CurrentAge-(A42-Assumptions_CurrentAge))/((1+Assumptions_ConsumerDebtRate)^MAX(1,Assumptions_ConsumerPayoffAge-Assumptions_CurrentAge-(A42-Assumptions_CurrentAge))-1)), 0)+IF(AND(Assumptions_OtherDebt&gt;0, A42&lt;Assumptions_OtherPayoffAge), IF(Assumptions_OtherDebtRate=0, Assumptions_OtherDebt/MAX(1,Assumptions_OtherPayoffAge-Assumptions_CurrentAge-(A42-Assumptions_CurrentAge)), Assumptions_OtherDebt*Assumptions_OtherDebtRate*(1+Assumptions_OtherDebtRate)^MAX(1,Assumptions_OtherPayoffAge-Assumptions_CurrentAge-(A42-Assumptions_CurrentAge))/((1+Assumptions_OtherDebtRate)^MAX(1,Assumptions_OtherPayoffAge-Assumptions_CurrentAge-(A42-Assumptions_CurrentAge))-1)), 0)</f>
      </c>
      <c r="P42" s="14">
        <f>M42+N42+O42</f>
      </c>
      <c r="Q42" s="14">
        <f>IF(L42&lt;=0, 0, MAX(0, SUMPRODUCT(MAX(MIN(L42,FedBracketMax)-FedBracketMin,0)*FedBracketRate) - (FedBasicPersonal + IF(A42&gt;=65, MAX(0, FedAgeAmount - MAX(0, L42-FedAgeThreshold)*FedAgeClawRate), 0) + IF(OR(H42&gt;0, I42&gt;0), FedPensionCredit, 0)) * FedCreditRate))</f>
      </c>
      <c r="R42" s="14">
        <f>L42-Q42</f>
      </c>
      <c r="S42" s="14">
        <f>MAX(0,P42-R42)</f>
      </c>
      <c r="T42" s="14">
        <f>MIN(S42,AM41)</f>
      </c>
      <c r="U42" s="14">
        <f>MAX(0,S42-T42)</f>
      </c>
      <c r="V42" s="14">
        <f>MIN(U42,AN41)</f>
      </c>
      <c r="W42" s="14">
        <f>MAX(0,U42-V42)</f>
      </c>
      <c r="X42" s="16">
        <f>INDEX(FedBracketRate,MATCH(L42,FedBracketMin,1))+INDEX(ProvBracketRate,MATCH(L42,ProvBracketMin,1))</f>
      </c>
      <c r="Y42" s="14">
        <f>IF(W42&gt;0, MIN(IF(X42&gt;=1, W42, W42/(1-X42)), MAX(0,AL41-K42)), 0)</f>
      </c>
      <c r="Z42" s="14">
        <f>K42+Y42</f>
      </c>
      <c r="AA42" s="14">
        <f>IF(W42&gt;Y42*(1-X42), MIN(MAX(0,W42-Y42*(1-X42)),AO41), 0)</f>
      </c>
      <c r="AB42" s="14">
        <f>MIN(Assumptions_OasMaxAnnual, MAX(0,(E42+F42+G42+H42+Z42-Assumptions_OasClawbackThresh)*Assumptions_OasClawbackRate))</f>
      </c>
      <c r="AC42" s="14">
        <f>MAX(0,G42-AB42)</f>
      </c>
      <c r="AD42" s="14">
        <f>V42*IF(AN41&gt;0, MAX(0,1-AS41/AN41), 0)*Assumptions_CapGainsRate</f>
      </c>
      <c r="AE42" s="14">
        <f>E42+F42+AC42+H42+Z42+AD42</f>
      </c>
      <c r="AF42" s="14">
        <f>MAX(0, SUMPRODUCT(MAX(MIN(AE42,FedBracketMax)-FedBracketMin,0)*FedBracketRate) - (FedBasicPersonal + IF(A42&gt;=65, MAX(0, FedAgeAmount - MAX(0, AE42-FedAgeThreshold)*FedAgeClawRate), 0) + IF(OR(H42&gt;0, I42&gt;0), FedPensionCredit, 0)) * FedCreditRate)</f>
      </c>
      <c r="AG42" s="14">
        <f>MAX(0, SUMPRODUCT(MAX(MIN(AE42,ProvBracketMax)-ProvBracketMin,0)*ProvBracketRate) - (ProvBasicPersonal + IF(A42&gt;=65, MAX(0, ProvAgeAmount - MAX(0, AE42-ProvAgeThreshold)*ProvAgeClawRate), 0) + IF(OR(H42&gt;0, I42&gt;0), ProvPensionCredit, 0)) * ProvCreditRate) + MAX(0, (MAX(0, SUMPRODUCT(MAX(MIN(AE42,ProvBracketMax)-ProvBracketMin,0)*ProvBracketRate) - (ProvBasicPersonal + IF(A42&gt;=65, MAX(0, ProvAgeAmount - MAX(0, AE42-ProvAgeThreshold)*ProvAgeClawRate), 0) + IF(OR(H42&gt;0, I42&gt;0), ProvPensionCredit, 0)) * ProvCreditRate)-SurtaxThreshold1)*SurtaxRate1) + MAX(0, (MAX(0, SUMPRODUCT(MAX(MIN(AE42,ProvBracketMax)-ProvBracketMin,0)*ProvBracketRate) - (ProvBasicPersonal + IF(A42&gt;=65, MAX(0, ProvAgeAmount - MAX(0, AE42-ProvAgeThreshold)*ProvAgeClawRate), 0) + IF(OR(H42&gt;0, I42&gt;0), ProvPensionCredit, 0)) * ProvCreditRate)-SurtaxThreshold2)*SurtaxRate2)</f>
      </c>
      <c r="AH42" s="14">
        <f>AF42+AG42</f>
      </c>
      <c r="AI42" s="14">
        <f>E42+F42+AC42+H42+Z42+T42+V42+AA42-AH42</f>
      </c>
      <c r="AJ42" s="14">
        <f>AI42-M42-N42-O42</f>
      </c>
      <c r="AK42" s="14">
        <f>IF(AJ42&gt;0, MIN(AJ42, Assumptions_TfsaAnnualLimit), 0)</f>
      </c>
      <c r="AL42" s="14">
        <f>MAX(0,AL41-Z42)*(1+Assumptions_RealReturn)</f>
      </c>
      <c r="AM42" s="14">
        <f>MAX(0,AM41-T42+AK42)*(1+Assumptions_TfsaReturn)</f>
      </c>
      <c r="AN42" s="14">
        <f>MAX(0,AN41-V42+MAX(0,AJ42-AK42))*(1+Assumptions_NonRegReturn)</f>
      </c>
      <c r="AO42" s="14">
        <f>MAX(0,AO41-AA42)*(1+Assumptions_RealReturn)</f>
      </c>
      <c r="AP42" s="14">
        <f>IF(N42&gt;0, MAX(0, AP41*(1+Assumptions_MortgageRate)-N42), 0)</f>
      </c>
      <c r="AQ42" s="14">
        <f>AL42+AM42+AN42+AO42</f>
      </c>
      <c r="AR42" s="14">
        <f>AQ42+Assumptions_RealEstateValue-AP42</f>
      </c>
      <c r="AS42" s="14">
        <f>MAX(0,AS41*MAX(0,AN41-V42)/IF(AN41&gt;0,AN41,1))+MAX(0,AJ42-AK42)</f>
      </c>
    </row>
    <row r="43" spans="1:45" x14ac:dyDescent="0.25">
      <c r="A43" s="15">
        <f>A42+1</f>
      </c>
      <c r="B43" s="15">
        <f>2026+(A43-Assumptions_CurrentAge)</f>
      </c>
      <c r="C43" s="15">
        <f>IF(A43&gt;=Assumptions_RetirementAge,1,0)</f>
      </c>
      <c r="D43" s="17">
        <f>(1+Assumptions_Inflation)^(A43-Assumptions_CurrentAge)</f>
      </c>
      <c r="E43" s="14">
        <f>IF(AND(C43=0,Assumptions_StillWorking=1),Assumptions_EmploymentIncome*D43,0)</f>
      </c>
      <c r="F43" s="14">
        <f>IF(A43&gt;=Assumptions_CppStartAge, Assumptions_CppMonthly*12*IF((Assumptions_CppStartAge-65)*12&lt;0, 1+(Assumptions_CppStartAge-65)*12*CppEarlyReduction, 1+(Assumptions_CppStartAge-65)*12*CppLateIncrease)*D43, 0)</f>
      </c>
      <c r="G43" s="14">
        <f>IF(A43&gt;=Assumptions_OasStartAge, Assumptions_OasMonthly*12*(1+MAX(0, MIN(Assumptions_OasStartAge, OasMaxDeferAge)-OasStdStartAge)*12*OasDeferralBonus)*D43, 0)</f>
      </c>
      <c r="H43" s="14">
        <f>IF(AND(Assumptions_PensionType="db",A43&gt;=Assumptions_DbPensionStartAge), IF(Assumptions_DbPensionIndexed=1, Assumptions_DbPensionAnnual*D43, Assumptions_DbPensionAnnual), 0)</f>
      </c>
      <c r="I43" s="14">
        <f>IF(AND(A43&gt;=72,AL42&gt;0), VLOOKUP(MIN(A43,95),RrifRates,2,TRUE)*AL42, 0)</f>
      </c>
      <c r="J43" s="14">
        <f>IF(AND(Assumptions_MeltdownEnabled=1,A43&gt;=Assumptions_MeltdownStartAge,A43&lt;Assumptions_MeltdownTargetAge), MIN(Assumptions_MeltdownAnnual,AL42), 0)</f>
      </c>
      <c r="K43" s="14">
        <f>MIN(MAX(I43,J43),AL42)</f>
      </c>
      <c r="L43" s="14">
        <f>E43+F43+G43+H43+K43</f>
      </c>
      <c r="M43" s="14">
        <f>IF(C43=1, Assumptions_MonthlyExpenses*12*(1-Assumptions_ExpenseReduction), Assumptions_MonthlyExpenses*12)*D43</f>
      </c>
      <c r="N43" s="14">
        <f>IF(AND(AP42&gt;0, (A43-Assumptions_CurrentAge)&lt;Assumptions_MortgageYears), IF(Assumptions_MortgageRate=0, AP42/MAX(1,Assumptions_MortgageYears-(A43-Assumptions_CurrentAge)), AP42*Assumptions_MortgageRate*(1+Assumptions_MortgageRate)^MAX(1,Assumptions_MortgageYears-(A43-Assumptions_CurrentAge))/((1+Assumptions_MortgageRate)^MAX(1,Assumptions_MortgageYears-(A43-Assumptions_CurrentAge))-1)), 0)</f>
      </c>
      <c r="O43" s="14">
        <f>IF(AND(Assumptions_ConsumerDebt&gt;0, A43&lt;Assumptions_ConsumerPayoffAge), IF(Assumptions_ConsumerDebtRate=0, Assumptions_ConsumerDebt/MAX(1,Assumptions_ConsumerPayoffAge-Assumptions_CurrentAge-(A43-Assumptions_CurrentAge)), Assumptions_ConsumerDebt*Assumptions_ConsumerDebtRate*(1+Assumptions_ConsumerDebtRate)^MAX(1,Assumptions_ConsumerPayoffAge-Assumptions_CurrentAge-(A43-Assumptions_CurrentAge))/((1+Assumptions_ConsumerDebtRate)^MAX(1,Assumptions_ConsumerPayoffAge-Assumptions_CurrentAge-(A43-Assumptions_CurrentAge))-1)), 0)+IF(AND(Assumptions_OtherDebt&gt;0, A43&lt;Assumptions_OtherPayoffAge), IF(Assumptions_OtherDebtRate=0, Assumptions_OtherDebt/MAX(1,Assumptions_OtherPayoffAge-Assumptions_CurrentAge-(A43-Assumptions_CurrentAge)), Assumptions_OtherDebt*Assumptions_OtherDebtRate*(1+Assumptions_OtherDebtRate)^MAX(1,Assumptions_OtherPayoffAge-Assumptions_CurrentAge-(A43-Assumptions_CurrentAge))/((1+Assumptions_OtherDebtRate)^MAX(1,Assumptions_OtherPayoffAge-Assumptions_CurrentAge-(A43-Assumptions_CurrentAge))-1)), 0)</f>
      </c>
      <c r="P43" s="14">
        <f>M43+N43+O43</f>
      </c>
      <c r="Q43" s="14">
        <f>IF(L43&lt;=0, 0, MAX(0, SUMPRODUCT(MAX(MIN(L43,FedBracketMax)-FedBracketMin,0)*FedBracketRate) - (FedBasicPersonal + IF(A43&gt;=65, MAX(0, FedAgeAmount - MAX(0, L43-FedAgeThreshold)*FedAgeClawRate), 0) + IF(OR(H43&gt;0, I43&gt;0), FedPensionCredit, 0)) * FedCreditRate))</f>
      </c>
      <c r="R43" s="14">
        <f>L43-Q43</f>
      </c>
      <c r="S43" s="14">
        <f>MAX(0,P43-R43)</f>
      </c>
      <c r="T43" s="14">
        <f>MIN(S43,AM42)</f>
      </c>
      <c r="U43" s="14">
        <f>MAX(0,S43-T43)</f>
      </c>
      <c r="V43" s="14">
        <f>MIN(U43,AN42)</f>
      </c>
      <c r="W43" s="14">
        <f>MAX(0,U43-V43)</f>
      </c>
      <c r="X43" s="16">
        <f>INDEX(FedBracketRate,MATCH(L43,FedBracketMin,1))+INDEX(ProvBracketRate,MATCH(L43,ProvBracketMin,1))</f>
      </c>
      <c r="Y43" s="14">
        <f>IF(W43&gt;0, MIN(IF(X43&gt;=1, W43, W43/(1-X43)), MAX(0,AL42-K43)), 0)</f>
      </c>
      <c r="Z43" s="14">
        <f>K43+Y43</f>
      </c>
      <c r="AA43" s="14">
        <f>IF(W43&gt;Y43*(1-X43), MIN(MAX(0,W43-Y43*(1-X43)),AO42), 0)</f>
      </c>
      <c r="AB43" s="14">
        <f>MIN(Assumptions_OasMaxAnnual, MAX(0,(E43+F43+G43+H43+Z43-Assumptions_OasClawbackThresh)*Assumptions_OasClawbackRate))</f>
      </c>
      <c r="AC43" s="14">
        <f>MAX(0,G43-AB43)</f>
      </c>
      <c r="AD43" s="14">
        <f>V43*IF(AN42&gt;0, MAX(0,1-AS42/AN42), 0)*Assumptions_CapGainsRate</f>
      </c>
      <c r="AE43" s="14">
        <f>E43+F43+AC43+H43+Z43+AD43</f>
      </c>
      <c r="AF43" s="14">
        <f>MAX(0, SUMPRODUCT(MAX(MIN(AE43,FedBracketMax)-FedBracketMin,0)*FedBracketRate) - (FedBasicPersonal + IF(A43&gt;=65, MAX(0, FedAgeAmount - MAX(0, AE43-FedAgeThreshold)*FedAgeClawRate), 0) + IF(OR(H43&gt;0, I43&gt;0), FedPensionCredit, 0)) * FedCreditRate)</f>
      </c>
      <c r="AG43" s="14">
        <f>MAX(0, SUMPRODUCT(MAX(MIN(AE43,ProvBracketMax)-ProvBracketMin,0)*ProvBracketRate) - (ProvBasicPersonal + IF(A43&gt;=65, MAX(0, ProvAgeAmount - MAX(0, AE43-ProvAgeThreshold)*ProvAgeClawRate), 0) + IF(OR(H43&gt;0, I43&gt;0), ProvPensionCredit, 0)) * ProvCreditRate) + MAX(0, (MAX(0, SUMPRODUCT(MAX(MIN(AE43,ProvBracketMax)-ProvBracketMin,0)*ProvBracketRate) - (ProvBasicPersonal + IF(A43&gt;=65, MAX(0, ProvAgeAmount - MAX(0, AE43-ProvAgeThreshold)*ProvAgeClawRate), 0) + IF(OR(H43&gt;0, I43&gt;0), ProvPensionCredit, 0)) * ProvCreditRate)-SurtaxThreshold1)*SurtaxRate1) + MAX(0, (MAX(0, SUMPRODUCT(MAX(MIN(AE43,ProvBracketMax)-ProvBracketMin,0)*ProvBracketRate) - (ProvBasicPersonal + IF(A43&gt;=65, MAX(0, ProvAgeAmount - MAX(0, AE43-ProvAgeThreshold)*ProvAgeClawRate), 0) + IF(OR(H43&gt;0, I43&gt;0), ProvPensionCredit, 0)) * ProvCreditRate)-SurtaxThreshold2)*SurtaxRate2)</f>
      </c>
      <c r="AH43" s="14">
        <f>AF43+AG43</f>
      </c>
      <c r="AI43" s="14">
        <f>E43+F43+AC43+H43+Z43+T43+V43+AA43-AH43</f>
      </c>
      <c r="AJ43" s="14">
        <f>AI43-M43-N43-O43</f>
      </c>
      <c r="AK43" s="14">
        <f>IF(AJ43&gt;0, MIN(AJ43, Assumptions_TfsaAnnualLimit), 0)</f>
      </c>
      <c r="AL43" s="14">
        <f>MAX(0,AL42-Z43)*(1+Assumptions_RealReturn)</f>
      </c>
      <c r="AM43" s="14">
        <f>MAX(0,AM42-T43+AK43)*(1+Assumptions_TfsaReturn)</f>
      </c>
      <c r="AN43" s="14">
        <f>MAX(0,AN42-V43+MAX(0,AJ43-AK43))*(1+Assumptions_NonRegReturn)</f>
      </c>
      <c r="AO43" s="14">
        <f>MAX(0,AO42-AA43)*(1+Assumptions_RealReturn)</f>
      </c>
      <c r="AP43" s="14">
        <f>IF(N43&gt;0, MAX(0, AP42*(1+Assumptions_MortgageRate)-N43), 0)</f>
      </c>
      <c r="AQ43" s="14">
        <f>AL43+AM43+AN43+AO43</f>
      </c>
      <c r="AR43" s="14">
        <f>AQ43+Assumptions_RealEstateValue-AP43</f>
      </c>
      <c r="AS43" s="14">
        <f>MAX(0,AS42*MAX(0,AN42-V43)/IF(AN42&gt;0,AN42,1))+MAX(0,AJ43-AK43)</f>
      </c>
    </row>
    <row r="44" spans="1:45" x14ac:dyDescent="0.25">
      <c r="A44" s="15">
        <f>A43+1</f>
      </c>
      <c r="B44" s="15">
        <f>2026+(A44-Assumptions_CurrentAge)</f>
      </c>
      <c r="C44" s="15">
        <f>IF(A44&gt;=Assumptions_RetirementAge,1,0)</f>
      </c>
      <c r="D44" s="17">
        <f>(1+Assumptions_Inflation)^(A44-Assumptions_CurrentAge)</f>
      </c>
      <c r="E44" s="14">
        <f>IF(AND(C44=0,Assumptions_StillWorking=1),Assumptions_EmploymentIncome*D44,0)</f>
      </c>
      <c r="F44" s="14">
        <f>IF(A44&gt;=Assumptions_CppStartAge, Assumptions_CppMonthly*12*IF((Assumptions_CppStartAge-65)*12&lt;0, 1+(Assumptions_CppStartAge-65)*12*CppEarlyReduction, 1+(Assumptions_CppStartAge-65)*12*CppLateIncrease)*D44, 0)</f>
      </c>
      <c r="G44" s="14">
        <f>IF(A44&gt;=Assumptions_OasStartAge, Assumptions_OasMonthly*12*(1+MAX(0, MIN(Assumptions_OasStartAge, OasMaxDeferAge)-OasStdStartAge)*12*OasDeferralBonus)*D44, 0)</f>
      </c>
      <c r="H44" s="14">
        <f>IF(AND(Assumptions_PensionType="db",A44&gt;=Assumptions_DbPensionStartAge), IF(Assumptions_DbPensionIndexed=1, Assumptions_DbPensionAnnual*D44, Assumptions_DbPensionAnnual), 0)</f>
      </c>
      <c r="I44" s="14">
        <f>IF(AND(A44&gt;=72,AL43&gt;0), VLOOKUP(MIN(A44,95),RrifRates,2,TRUE)*AL43, 0)</f>
      </c>
      <c r="J44" s="14">
        <f>IF(AND(Assumptions_MeltdownEnabled=1,A44&gt;=Assumptions_MeltdownStartAge,A44&lt;Assumptions_MeltdownTargetAge), MIN(Assumptions_MeltdownAnnual,AL43), 0)</f>
      </c>
      <c r="K44" s="14">
        <f>MIN(MAX(I44,J44),AL43)</f>
      </c>
      <c r="L44" s="14">
        <f>E44+F44+G44+H44+K44</f>
      </c>
      <c r="M44" s="14">
        <f>IF(C44=1, Assumptions_MonthlyExpenses*12*(1-Assumptions_ExpenseReduction), Assumptions_MonthlyExpenses*12)*D44</f>
      </c>
      <c r="N44" s="14">
        <f>IF(AND(AP43&gt;0, (A44-Assumptions_CurrentAge)&lt;Assumptions_MortgageYears), IF(Assumptions_MortgageRate=0, AP43/MAX(1,Assumptions_MortgageYears-(A44-Assumptions_CurrentAge)), AP43*Assumptions_MortgageRate*(1+Assumptions_MortgageRate)^MAX(1,Assumptions_MortgageYears-(A44-Assumptions_CurrentAge))/((1+Assumptions_MortgageRate)^MAX(1,Assumptions_MortgageYears-(A44-Assumptions_CurrentAge))-1)), 0)</f>
      </c>
      <c r="O44" s="14">
        <f>IF(AND(Assumptions_ConsumerDebt&gt;0, A44&lt;Assumptions_ConsumerPayoffAge), IF(Assumptions_ConsumerDebtRate=0, Assumptions_ConsumerDebt/MAX(1,Assumptions_ConsumerPayoffAge-Assumptions_CurrentAge-(A44-Assumptions_CurrentAge)), Assumptions_ConsumerDebt*Assumptions_ConsumerDebtRate*(1+Assumptions_ConsumerDebtRate)^MAX(1,Assumptions_ConsumerPayoffAge-Assumptions_CurrentAge-(A44-Assumptions_CurrentAge))/((1+Assumptions_ConsumerDebtRate)^MAX(1,Assumptions_ConsumerPayoffAge-Assumptions_CurrentAge-(A44-Assumptions_CurrentAge))-1)), 0)+IF(AND(Assumptions_OtherDebt&gt;0, A44&lt;Assumptions_OtherPayoffAge), IF(Assumptions_OtherDebtRate=0, Assumptions_OtherDebt/MAX(1,Assumptions_OtherPayoffAge-Assumptions_CurrentAge-(A44-Assumptions_CurrentAge)), Assumptions_OtherDebt*Assumptions_OtherDebtRate*(1+Assumptions_OtherDebtRate)^MAX(1,Assumptions_OtherPayoffAge-Assumptions_CurrentAge-(A44-Assumptions_CurrentAge))/((1+Assumptions_OtherDebtRate)^MAX(1,Assumptions_OtherPayoffAge-Assumptions_CurrentAge-(A44-Assumptions_CurrentAge))-1)), 0)</f>
      </c>
      <c r="P44" s="14">
        <f>M44+N44+O44</f>
      </c>
      <c r="Q44" s="14">
        <f>IF(L44&lt;=0, 0, MAX(0, SUMPRODUCT(MAX(MIN(L44,FedBracketMax)-FedBracketMin,0)*FedBracketRate) - (FedBasicPersonal + IF(A44&gt;=65, MAX(0, FedAgeAmount - MAX(0, L44-FedAgeThreshold)*FedAgeClawRate), 0) + IF(OR(H44&gt;0, I44&gt;0), FedPensionCredit, 0)) * FedCreditRate))</f>
      </c>
      <c r="R44" s="14">
        <f>L44-Q44</f>
      </c>
      <c r="S44" s="14">
        <f>MAX(0,P44-R44)</f>
      </c>
      <c r="T44" s="14">
        <f>MIN(S44,AM43)</f>
      </c>
      <c r="U44" s="14">
        <f>MAX(0,S44-T44)</f>
      </c>
      <c r="V44" s="14">
        <f>MIN(U44,AN43)</f>
      </c>
      <c r="W44" s="14">
        <f>MAX(0,U44-V44)</f>
      </c>
      <c r="X44" s="16">
        <f>INDEX(FedBracketRate,MATCH(L44,FedBracketMin,1))+INDEX(ProvBracketRate,MATCH(L44,ProvBracketMin,1))</f>
      </c>
      <c r="Y44" s="14">
        <f>IF(W44&gt;0, MIN(IF(X44&gt;=1, W44, W44/(1-X44)), MAX(0,AL43-K44)), 0)</f>
      </c>
      <c r="Z44" s="14">
        <f>K44+Y44</f>
      </c>
      <c r="AA44" s="14">
        <f>IF(W44&gt;Y44*(1-X44), MIN(MAX(0,W44-Y44*(1-X44)),AO43), 0)</f>
      </c>
      <c r="AB44" s="14">
        <f>MIN(Assumptions_OasMaxAnnual, MAX(0,(E44+F44+G44+H44+Z44-Assumptions_OasClawbackThresh)*Assumptions_OasClawbackRate))</f>
      </c>
      <c r="AC44" s="14">
        <f>MAX(0,G44-AB44)</f>
      </c>
      <c r="AD44" s="14">
        <f>V44*IF(AN43&gt;0, MAX(0,1-AS43/AN43), 0)*Assumptions_CapGainsRate</f>
      </c>
      <c r="AE44" s="14">
        <f>E44+F44+AC44+H44+Z44+AD44</f>
      </c>
      <c r="AF44" s="14">
        <f>MAX(0, SUMPRODUCT(MAX(MIN(AE44,FedBracketMax)-FedBracketMin,0)*FedBracketRate) - (FedBasicPersonal + IF(A44&gt;=65, MAX(0, FedAgeAmount - MAX(0, AE44-FedAgeThreshold)*FedAgeClawRate), 0) + IF(OR(H44&gt;0, I44&gt;0), FedPensionCredit, 0)) * FedCreditRate)</f>
      </c>
      <c r="AG44" s="14">
        <f>MAX(0, SUMPRODUCT(MAX(MIN(AE44,ProvBracketMax)-ProvBracketMin,0)*ProvBracketRate) - (ProvBasicPersonal + IF(A44&gt;=65, MAX(0, ProvAgeAmount - MAX(0, AE44-ProvAgeThreshold)*ProvAgeClawRate), 0) + IF(OR(H44&gt;0, I44&gt;0), ProvPensionCredit, 0)) * ProvCreditRate) + MAX(0, (MAX(0, SUMPRODUCT(MAX(MIN(AE44,ProvBracketMax)-ProvBracketMin,0)*ProvBracketRate) - (ProvBasicPersonal + IF(A44&gt;=65, MAX(0, ProvAgeAmount - MAX(0, AE44-ProvAgeThreshold)*ProvAgeClawRate), 0) + IF(OR(H44&gt;0, I44&gt;0), ProvPensionCredit, 0)) * ProvCreditRate)-SurtaxThreshold1)*SurtaxRate1) + MAX(0, (MAX(0, SUMPRODUCT(MAX(MIN(AE44,ProvBracketMax)-ProvBracketMin,0)*ProvBracketRate) - (ProvBasicPersonal + IF(A44&gt;=65, MAX(0, ProvAgeAmount - MAX(0, AE44-ProvAgeThreshold)*ProvAgeClawRate), 0) + IF(OR(H44&gt;0, I44&gt;0), ProvPensionCredit, 0)) * ProvCreditRate)-SurtaxThreshold2)*SurtaxRate2)</f>
      </c>
      <c r="AH44" s="14">
        <f>AF44+AG44</f>
      </c>
      <c r="AI44" s="14">
        <f>E44+F44+AC44+H44+Z44+T44+V44+AA44-AH44</f>
      </c>
      <c r="AJ44" s="14">
        <f>AI44-M44-N44-O44</f>
      </c>
      <c r="AK44" s="14">
        <f>IF(AJ44&gt;0, MIN(AJ44, Assumptions_TfsaAnnualLimit), 0)</f>
      </c>
      <c r="AL44" s="14">
        <f>MAX(0,AL43-Z44)*(1+Assumptions_RealReturn)</f>
      </c>
      <c r="AM44" s="14">
        <f>MAX(0,AM43-T44+AK44)*(1+Assumptions_TfsaReturn)</f>
      </c>
      <c r="AN44" s="14">
        <f>MAX(0,AN43-V44+MAX(0,AJ44-AK44))*(1+Assumptions_NonRegReturn)</f>
      </c>
      <c r="AO44" s="14">
        <f>MAX(0,AO43-AA44)*(1+Assumptions_RealReturn)</f>
      </c>
      <c r="AP44" s="14">
        <f>IF(N44&gt;0, MAX(0, AP43*(1+Assumptions_MortgageRate)-N44), 0)</f>
      </c>
      <c r="AQ44" s="14">
        <f>AL44+AM44+AN44+AO44</f>
      </c>
      <c r="AR44" s="14">
        <f>AQ44+Assumptions_RealEstateValue-AP44</f>
      </c>
      <c r="AS44" s="14">
        <f>MAX(0,AS43*MAX(0,AN43-V44)/IF(AN43&gt;0,AN43,1))+MAX(0,AJ44-AK44)</f>
      </c>
    </row>
    <row r="45" spans="1:45" x14ac:dyDescent="0.25">
      <c r="A45" s="15">
        <f>A44+1</f>
      </c>
      <c r="B45" s="15">
        <f>2026+(A45-Assumptions_CurrentAge)</f>
      </c>
      <c r="C45" s="15">
        <f>IF(A45&gt;=Assumptions_RetirementAge,1,0)</f>
      </c>
      <c r="D45" s="17">
        <f>(1+Assumptions_Inflation)^(A45-Assumptions_CurrentAge)</f>
      </c>
      <c r="E45" s="14">
        <f>IF(AND(C45=0,Assumptions_StillWorking=1),Assumptions_EmploymentIncome*D45,0)</f>
      </c>
      <c r="F45" s="14">
        <f>IF(A45&gt;=Assumptions_CppStartAge, Assumptions_CppMonthly*12*IF((Assumptions_CppStartAge-65)*12&lt;0, 1+(Assumptions_CppStartAge-65)*12*CppEarlyReduction, 1+(Assumptions_CppStartAge-65)*12*CppLateIncrease)*D45, 0)</f>
      </c>
      <c r="G45" s="14">
        <f>IF(A45&gt;=Assumptions_OasStartAge, Assumptions_OasMonthly*12*(1+MAX(0, MIN(Assumptions_OasStartAge, OasMaxDeferAge)-OasStdStartAge)*12*OasDeferralBonus)*D45, 0)</f>
      </c>
      <c r="H45" s="14">
        <f>IF(AND(Assumptions_PensionType="db",A45&gt;=Assumptions_DbPensionStartAge), IF(Assumptions_DbPensionIndexed=1, Assumptions_DbPensionAnnual*D45, Assumptions_DbPensionAnnual), 0)</f>
      </c>
      <c r="I45" s="14">
        <f>IF(AND(A45&gt;=72,AL44&gt;0), VLOOKUP(MIN(A45,95),RrifRates,2,TRUE)*AL44, 0)</f>
      </c>
      <c r="J45" s="14">
        <f>IF(AND(Assumptions_MeltdownEnabled=1,A45&gt;=Assumptions_MeltdownStartAge,A45&lt;Assumptions_MeltdownTargetAge), MIN(Assumptions_MeltdownAnnual,AL44), 0)</f>
      </c>
      <c r="K45" s="14">
        <f>MIN(MAX(I45,J45),AL44)</f>
      </c>
      <c r="L45" s="14">
        <f>E45+F45+G45+H45+K45</f>
      </c>
      <c r="M45" s="14">
        <f>IF(C45=1, Assumptions_MonthlyExpenses*12*(1-Assumptions_ExpenseReduction), Assumptions_MonthlyExpenses*12)*D45</f>
      </c>
      <c r="N45" s="14">
        <f>IF(AND(AP44&gt;0, (A45-Assumptions_CurrentAge)&lt;Assumptions_MortgageYears), IF(Assumptions_MortgageRate=0, AP44/MAX(1,Assumptions_MortgageYears-(A45-Assumptions_CurrentAge)), AP44*Assumptions_MortgageRate*(1+Assumptions_MortgageRate)^MAX(1,Assumptions_MortgageYears-(A45-Assumptions_CurrentAge))/((1+Assumptions_MortgageRate)^MAX(1,Assumptions_MortgageYears-(A45-Assumptions_CurrentAge))-1)), 0)</f>
      </c>
      <c r="O45" s="14">
        <f>IF(AND(Assumptions_ConsumerDebt&gt;0, A45&lt;Assumptions_ConsumerPayoffAge), IF(Assumptions_ConsumerDebtRate=0, Assumptions_ConsumerDebt/MAX(1,Assumptions_ConsumerPayoffAge-Assumptions_CurrentAge-(A45-Assumptions_CurrentAge)), Assumptions_ConsumerDebt*Assumptions_ConsumerDebtRate*(1+Assumptions_ConsumerDebtRate)^MAX(1,Assumptions_ConsumerPayoffAge-Assumptions_CurrentAge-(A45-Assumptions_CurrentAge))/((1+Assumptions_ConsumerDebtRate)^MAX(1,Assumptions_ConsumerPayoffAge-Assumptions_CurrentAge-(A45-Assumptions_CurrentAge))-1)), 0)+IF(AND(Assumptions_OtherDebt&gt;0, A45&lt;Assumptions_OtherPayoffAge), IF(Assumptions_OtherDebtRate=0, Assumptions_OtherDebt/MAX(1,Assumptions_OtherPayoffAge-Assumptions_CurrentAge-(A45-Assumptions_CurrentAge)), Assumptions_OtherDebt*Assumptions_OtherDebtRate*(1+Assumptions_OtherDebtRate)^MAX(1,Assumptions_OtherPayoffAge-Assumptions_CurrentAge-(A45-Assumptions_CurrentAge))/((1+Assumptions_OtherDebtRate)^MAX(1,Assumptions_OtherPayoffAge-Assumptions_CurrentAge-(A45-Assumptions_CurrentAge))-1)), 0)</f>
      </c>
      <c r="P45" s="14">
        <f>M45+N45+O45</f>
      </c>
      <c r="Q45" s="14">
        <f>IF(L45&lt;=0, 0, MAX(0, SUMPRODUCT(MAX(MIN(L45,FedBracketMax)-FedBracketMin,0)*FedBracketRate) - (FedBasicPersonal + IF(A45&gt;=65, MAX(0, FedAgeAmount - MAX(0, L45-FedAgeThreshold)*FedAgeClawRate), 0) + IF(OR(H45&gt;0, I45&gt;0), FedPensionCredit, 0)) * FedCreditRate))</f>
      </c>
      <c r="R45" s="14">
        <f>L45-Q45</f>
      </c>
      <c r="S45" s="14">
        <f>MAX(0,P45-R45)</f>
      </c>
      <c r="T45" s="14">
        <f>MIN(S45,AM44)</f>
      </c>
      <c r="U45" s="14">
        <f>MAX(0,S45-T45)</f>
      </c>
      <c r="V45" s="14">
        <f>MIN(U45,AN44)</f>
      </c>
      <c r="W45" s="14">
        <f>MAX(0,U45-V45)</f>
      </c>
      <c r="X45" s="16">
        <f>INDEX(FedBracketRate,MATCH(L45,FedBracketMin,1))+INDEX(ProvBracketRate,MATCH(L45,ProvBracketMin,1))</f>
      </c>
      <c r="Y45" s="14">
        <f>IF(W45&gt;0, MIN(IF(X45&gt;=1, W45, W45/(1-X45)), MAX(0,AL44-K45)), 0)</f>
      </c>
      <c r="Z45" s="14">
        <f>K45+Y45</f>
      </c>
      <c r="AA45" s="14">
        <f>IF(W45&gt;Y45*(1-X45), MIN(MAX(0,W45-Y45*(1-X45)),AO44), 0)</f>
      </c>
      <c r="AB45" s="14">
        <f>MIN(Assumptions_OasMaxAnnual, MAX(0,(E45+F45+G45+H45+Z45-Assumptions_OasClawbackThresh)*Assumptions_OasClawbackRate))</f>
      </c>
      <c r="AC45" s="14">
        <f>MAX(0,G45-AB45)</f>
      </c>
      <c r="AD45" s="14">
        <f>V45*IF(AN44&gt;0, MAX(0,1-AS44/AN44), 0)*Assumptions_CapGainsRate</f>
      </c>
      <c r="AE45" s="14">
        <f>E45+F45+AC45+H45+Z45+AD45</f>
      </c>
      <c r="AF45" s="14">
        <f>MAX(0, SUMPRODUCT(MAX(MIN(AE45,FedBracketMax)-FedBracketMin,0)*FedBracketRate) - (FedBasicPersonal + IF(A45&gt;=65, MAX(0, FedAgeAmount - MAX(0, AE45-FedAgeThreshold)*FedAgeClawRate), 0) + IF(OR(H45&gt;0, I45&gt;0), FedPensionCredit, 0)) * FedCreditRate)</f>
      </c>
      <c r="AG45" s="14">
        <f>MAX(0, SUMPRODUCT(MAX(MIN(AE45,ProvBracketMax)-ProvBracketMin,0)*ProvBracketRate) - (ProvBasicPersonal + IF(A45&gt;=65, MAX(0, ProvAgeAmount - MAX(0, AE45-ProvAgeThreshold)*ProvAgeClawRate), 0) + IF(OR(H45&gt;0, I45&gt;0), ProvPensionCredit, 0)) * ProvCreditRate) + MAX(0, (MAX(0, SUMPRODUCT(MAX(MIN(AE45,ProvBracketMax)-ProvBracketMin,0)*ProvBracketRate) - (ProvBasicPersonal + IF(A45&gt;=65, MAX(0, ProvAgeAmount - MAX(0, AE45-ProvAgeThreshold)*ProvAgeClawRate), 0) + IF(OR(H45&gt;0, I45&gt;0), ProvPensionCredit, 0)) * ProvCreditRate)-SurtaxThreshold1)*SurtaxRate1) + MAX(0, (MAX(0, SUMPRODUCT(MAX(MIN(AE45,ProvBracketMax)-ProvBracketMin,0)*ProvBracketRate) - (ProvBasicPersonal + IF(A45&gt;=65, MAX(0, ProvAgeAmount - MAX(0, AE45-ProvAgeThreshold)*ProvAgeClawRate), 0) + IF(OR(H45&gt;0, I45&gt;0), ProvPensionCredit, 0)) * ProvCreditRate)-SurtaxThreshold2)*SurtaxRate2)</f>
      </c>
      <c r="AH45" s="14">
        <f>AF45+AG45</f>
      </c>
      <c r="AI45" s="14">
        <f>E45+F45+AC45+H45+Z45+T45+V45+AA45-AH45</f>
      </c>
      <c r="AJ45" s="14">
        <f>AI45-M45-N45-O45</f>
      </c>
      <c r="AK45" s="14">
        <f>IF(AJ45&gt;0, MIN(AJ45, Assumptions_TfsaAnnualLimit), 0)</f>
      </c>
      <c r="AL45" s="14">
        <f>MAX(0,AL44-Z45)*(1+Assumptions_RealReturn)</f>
      </c>
      <c r="AM45" s="14">
        <f>MAX(0,AM44-T45+AK45)*(1+Assumptions_TfsaReturn)</f>
      </c>
      <c r="AN45" s="14">
        <f>MAX(0,AN44-V45+MAX(0,AJ45-AK45))*(1+Assumptions_NonRegReturn)</f>
      </c>
      <c r="AO45" s="14">
        <f>MAX(0,AO44-AA45)*(1+Assumptions_RealReturn)</f>
      </c>
      <c r="AP45" s="14">
        <f>IF(N45&gt;0, MAX(0, AP44*(1+Assumptions_MortgageRate)-N45), 0)</f>
      </c>
      <c r="AQ45" s="14">
        <f>AL45+AM45+AN45+AO45</f>
      </c>
      <c r="AR45" s="14">
        <f>AQ45+Assumptions_RealEstateValue-AP45</f>
      </c>
      <c r="AS45" s="14">
        <f>MAX(0,AS44*MAX(0,AN44-V45)/IF(AN44&gt;0,AN44,1))+MAX(0,AJ45-AK45)</f>
      </c>
    </row>
    <row r="46" spans="1:45" x14ac:dyDescent="0.25">
      <c r="A46" s="15">
        <f>A45+1</f>
      </c>
      <c r="B46" s="15">
        <f>2026+(A46-Assumptions_CurrentAge)</f>
      </c>
      <c r="C46" s="15">
        <f>IF(A46&gt;=Assumptions_RetirementAge,1,0)</f>
      </c>
      <c r="D46" s="17">
        <f>(1+Assumptions_Inflation)^(A46-Assumptions_CurrentAge)</f>
      </c>
      <c r="E46" s="14">
        <f>IF(AND(C46=0,Assumptions_StillWorking=1),Assumptions_EmploymentIncome*D46,0)</f>
      </c>
      <c r="F46" s="14">
        <f>IF(A46&gt;=Assumptions_CppStartAge, Assumptions_CppMonthly*12*IF((Assumptions_CppStartAge-65)*12&lt;0, 1+(Assumptions_CppStartAge-65)*12*CppEarlyReduction, 1+(Assumptions_CppStartAge-65)*12*CppLateIncrease)*D46, 0)</f>
      </c>
      <c r="G46" s="14">
        <f>IF(A46&gt;=Assumptions_OasStartAge, Assumptions_OasMonthly*12*(1+MAX(0, MIN(Assumptions_OasStartAge, OasMaxDeferAge)-OasStdStartAge)*12*OasDeferralBonus)*D46, 0)</f>
      </c>
      <c r="H46" s="14">
        <f>IF(AND(Assumptions_PensionType="db",A46&gt;=Assumptions_DbPensionStartAge), IF(Assumptions_DbPensionIndexed=1, Assumptions_DbPensionAnnual*D46, Assumptions_DbPensionAnnual), 0)</f>
      </c>
      <c r="I46" s="14">
        <f>IF(AND(A46&gt;=72,AL45&gt;0), VLOOKUP(MIN(A46,95),RrifRates,2,TRUE)*AL45, 0)</f>
      </c>
      <c r="J46" s="14">
        <f>IF(AND(Assumptions_MeltdownEnabled=1,A46&gt;=Assumptions_MeltdownStartAge,A46&lt;Assumptions_MeltdownTargetAge), MIN(Assumptions_MeltdownAnnual,AL45), 0)</f>
      </c>
      <c r="K46" s="14">
        <f>MIN(MAX(I46,J46),AL45)</f>
      </c>
      <c r="L46" s="14">
        <f>E46+F46+G46+H46+K46</f>
      </c>
      <c r="M46" s="14">
        <f>IF(C46=1, Assumptions_MonthlyExpenses*12*(1-Assumptions_ExpenseReduction), Assumptions_MonthlyExpenses*12)*D46</f>
      </c>
      <c r="N46" s="14">
        <f>IF(AND(AP45&gt;0, (A46-Assumptions_CurrentAge)&lt;Assumptions_MortgageYears), IF(Assumptions_MortgageRate=0, AP45/MAX(1,Assumptions_MortgageYears-(A46-Assumptions_CurrentAge)), AP45*Assumptions_MortgageRate*(1+Assumptions_MortgageRate)^MAX(1,Assumptions_MortgageYears-(A46-Assumptions_CurrentAge))/((1+Assumptions_MortgageRate)^MAX(1,Assumptions_MortgageYears-(A46-Assumptions_CurrentAge))-1)), 0)</f>
      </c>
      <c r="O46" s="14">
        <f>IF(AND(Assumptions_ConsumerDebt&gt;0, A46&lt;Assumptions_ConsumerPayoffAge), IF(Assumptions_ConsumerDebtRate=0, Assumptions_ConsumerDebt/MAX(1,Assumptions_ConsumerPayoffAge-Assumptions_CurrentAge-(A46-Assumptions_CurrentAge)), Assumptions_ConsumerDebt*Assumptions_ConsumerDebtRate*(1+Assumptions_ConsumerDebtRate)^MAX(1,Assumptions_ConsumerPayoffAge-Assumptions_CurrentAge-(A46-Assumptions_CurrentAge))/((1+Assumptions_ConsumerDebtRate)^MAX(1,Assumptions_ConsumerPayoffAge-Assumptions_CurrentAge-(A46-Assumptions_CurrentAge))-1)), 0)+IF(AND(Assumptions_OtherDebt&gt;0, A46&lt;Assumptions_OtherPayoffAge), IF(Assumptions_OtherDebtRate=0, Assumptions_OtherDebt/MAX(1,Assumptions_OtherPayoffAge-Assumptions_CurrentAge-(A46-Assumptions_CurrentAge)), Assumptions_OtherDebt*Assumptions_OtherDebtRate*(1+Assumptions_OtherDebtRate)^MAX(1,Assumptions_OtherPayoffAge-Assumptions_CurrentAge-(A46-Assumptions_CurrentAge))/((1+Assumptions_OtherDebtRate)^MAX(1,Assumptions_OtherPayoffAge-Assumptions_CurrentAge-(A46-Assumptions_CurrentAge))-1)), 0)</f>
      </c>
      <c r="P46" s="14">
        <f>M46+N46+O46</f>
      </c>
      <c r="Q46" s="14">
        <f>IF(L46&lt;=0, 0, MAX(0, SUMPRODUCT(MAX(MIN(L46,FedBracketMax)-FedBracketMin,0)*FedBracketRate) - (FedBasicPersonal + IF(A46&gt;=65, MAX(0, FedAgeAmount - MAX(0, L46-FedAgeThreshold)*FedAgeClawRate), 0) + IF(OR(H46&gt;0, I46&gt;0), FedPensionCredit, 0)) * FedCreditRate))</f>
      </c>
      <c r="R46" s="14">
        <f>L46-Q46</f>
      </c>
      <c r="S46" s="14">
        <f>MAX(0,P46-R46)</f>
      </c>
      <c r="T46" s="14">
        <f>MIN(S46,AM45)</f>
      </c>
      <c r="U46" s="14">
        <f>MAX(0,S46-T46)</f>
      </c>
      <c r="V46" s="14">
        <f>MIN(U46,AN45)</f>
      </c>
      <c r="W46" s="14">
        <f>MAX(0,U46-V46)</f>
      </c>
      <c r="X46" s="16">
        <f>INDEX(FedBracketRate,MATCH(L46,FedBracketMin,1))+INDEX(ProvBracketRate,MATCH(L46,ProvBracketMin,1))</f>
      </c>
      <c r="Y46" s="14">
        <f>IF(W46&gt;0, MIN(IF(X46&gt;=1, W46, W46/(1-X46)), MAX(0,AL45-K46)), 0)</f>
      </c>
      <c r="Z46" s="14">
        <f>K46+Y46</f>
      </c>
      <c r="AA46" s="14">
        <f>IF(W46&gt;Y46*(1-X46), MIN(MAX(0,W46-Y46*(1-X46)),AO45), 0)</f>
      </c>
      <c r="AB46" s="14">
        <f>MIN(Assumptions_OasMaxAnnual, MAX(0,(E46+F46+G46+H46+Z46-Assumptions_OasClawbackThresh)*Assumptions_OasClawbackRate))</f>
      </c>
      <c r="AC46" s="14">
        <f>MAX(0,G46-AB46)</f>
      </c>
      <c r="AD46" s="14">
        <f>V46*IF(AN45&gt;0, MAX(0,1-AS45/AN45), 0)*Assumptions_CapGainsRate</f>
      </c>
      <c r="AE46" s="14">
        <f>E46+F46+AC46+H46+Z46+AD46</f>
      </c>
      <c r="AF46" s="14">
        <f>MAX(0, SUMPRODUCT(MAX(MIN(AE46,FedBracketMax)-FedBracketMin,0)*FedBracketRate) - (FedBasicPersonal + IF(A46&gt;=65, MAX(0, FedAgeAmount - MAX(0, AE46-FedAgeThreshold)*FedAgeClawRate), 0) + IF(OR(H46&gt;0, I46&gt;0), FedPensionCredit, 0)) * FedCreditRate)</f>
      </c>
      <c r="AG46" s="14">
        <f>MAX(0, SUMPRODUCT(MAX(MIN(AE46,ProvBracketMax)-ProvBracketMin,0)*ProvBracketRate) - (ProvBasicPersonal + IF(A46&gt;=65, MAX(0, ProvAgeAmount - MAX(0, AE46-ProvAgeThreshold)*ProvAgeClawRate), 0) + IF(OR(H46&gt;0, I46&gt;0), ProvPensionCredit, 0)) * ProvCreditRate) + MAX(0, (MAX(0, SUMPRODUCT(MAX(MIN(AE46,ProvBracketMax)-ProvBracketMin,0)*ProvBracketRate) - (ProvBasicPersonal + IF(A46&gt;=65, MAX(0, ProvAgeAmount - MAX(0, AE46-ProvAgeThreshold)*ProvAgeClawRate), 0) + IF(OR(H46&gt;0, I46&gt;0), ProvPensionCredit, 0)) * ProvCreditRate)-SurtaxThreshold1)*SurtaxRate1) + MAX(0, (MAX(0, SUMPRODUCT(MAX(MIN(AE46,ProvBracketMax)-ProvBracketMin,0)*ProvBracketRate) - (ProvBasicPersonal + IF(A46&gt;=65, MAX(0, ProvAgeAmount - MAX(0, AE46-ProvAgeThreshold)*ProvAgeClawRate), 0) + IF(OR(H46&gt;0, I46&gt;0), ProvPensionCredit, 0)) * ProvCreditRate)-SurtaxThreshold2)*SurtaxRate2)</f>
      </c>
      <c r="AH46" s="14">
        <f>AF46+AG46</f>
      </c>
      <c r="AI46" s="14">
        <f>E46+F46+AC46+H46+Z46+T46+V46+AA46-AH46</f>
      </c>
      <c r="AJ46" s="14">
        <f>AI46-M46-N46-O46</f>
      </c>
      <c r="AK46" s="14">
        <f>IF(AJ46&gt;0, MIN(AJ46, Assumptions_TfsaAnnualLimit), 0)</f>
      </c>
      <c r="AL46" s="14">
        <f>MAX(0,AL45-Z46)*(1+Assumptions_RealReturn)</f>
      </c>
      <c r="AM46" s="14">
        <f>MAX(0,AM45-T46+AK46)*(1+Assumptions_TfsaReturn)</f>
      </c>
      <c r="AN46" s="14">
        <f>MAX(0,AN45-V46+MAX(0,AJ46-AK46))*(1+Assumptions_NonRegReturn)</f>
      </c>
      <c r="AO46" s="14">
        <f>MAX(0,AO45-AA46)*(1+Assumptions_RealReturn)</f>
      </c>
      <c r="AP46" s="14">
        <f>IF(N46&gt;0, MAX(0, AP45*(1+Assumptions_MortgageRate)-N46), 0)</f>
      </c>
      <c r="AQ46" s="14">
        <f>AL46+AM46+AN46+AO46</f>
      </c>
      <c r="AR46" s="14">
        <f>AQ46+Assumptions_RealEstateValue-AP46</f>
      </c>
      <c r="AS46" s="14">
        <f>MAX(0,AS45*MAX(0,AN45-V46)/IF(AN45&gt;0,AN45,1))+MAX(0,AJ46-AK46)</f>
      </c>
    </row>
    <row r="47" spans="1:45" x14ac:dyDescent="0.25">
      <c r="A47" s="15">
        <f>A46+1</f>
      </c>
      <c r="B47" s="15">
        <f>2026+(A47-Assumptions_CurrentAge)</f>
      </c>
      <c r="C47" s="15">
        <f>IF(A47&gt;=Assumptions_RetirementAge,1,0)</f>
      </c>
      <c r="D47" s="17">
        <f>(1+Assumptions_Inflation)^(A47-Assumptions_CurrentAge)</f>
      </c>
      <c r="E47" s="14">
        <f>IF(AND(C47=0,Assumptions_StillWorking=1),Assumptions_EmploymentIncome*D47,0)</f>
      </c>
      <c r="F47" s="14">
        <f>IF(A47&gt;=Assumptions_CppStartAge, Assumptions_CppMonthly*12*IF((Assumptions_CppStartAge-65)*12&lt;0, 1+(Assumptions_CppStartAge-65)*12*CppEarlyReduction, 1+(Assumptions_CppStartAge-65)*12*CppLateIncrease)*D47, 0)</f>
      </c>
      <c r="G47" s="14">
        <f>IF(A47&gt;=Assumptions_OasStartAge, Assumptions_OasMonthly*12*(1+MAX(0, MIN(Assumptions_OasStartAge, OasMaxDeferAge)-OasStdStartAge)*12*OasDeferralBonus)*D47, 0)</f>
      </c>
      <c r="H47" s="14">
        <f>IF(AND(Assumptions_PensionType="db",A47&gt;=Assumptions_DbPensionStartAge), IF(Assumptions_DbPensionIndexed=1, Assumptions_DbPensionAnnual*D47, Assumptions_DbPensionAnnual), 0)</f>
      </c>
      <c r="I47" s="14">
        <f>IF(AND(A47&gt;=72,AL46&gt;0), VLOOKUP(MIN(A47,95),RrifRates,2,TRUE)*AL46, 0)</f>
      </c>
      <c r="J47" s="14">
        <f>IF(AND(Assumptions_MeltdownEnabled=1,A47&gt;=Assumptions_MeltdownStartAge,A47&lt;Assumptions_MeltdownTargetAge), MIN(Assumptions_MeltdownAnnual,AL46), 0)</f>
      </c>
      <c r="K47" s="14">
        <f>MIN(MAX(I47,J47),AL46)</f>
      </c>
      <c r="L47" s="14">
        <f>E47+F47+G47+H47+K47</f>
      </c>
      <c r="M47" s="14">
        <f>IF(C47=1, Assumptions_MonthlyExpenses*12*(1-Assumptions_ExpenseReduction), Assumptions_MonthlyExpenses*12)*D47</f>
      </c>
      <c r="N47" s="14">
        <f>IF(AND(AP46&gt;0, (A47-Assumptions_CurrentAge)&lt;Assumptions_MortgageYears), IF(Assumptions_MortgageRate=0, AP46/MAX(1,Assumptions_MortgageYears-(A47-Assumptions_CurrentAge)), AP46*Assumptions_MortgageRate*(1+Assumptions_MortgageRate)^MAX(1,Assumptions_MortgageYears-(A47-Assumptions_CurrentAge))/((1+Assumptions_MortgageRate)^MAX(1,Assumptions_MortgageYears-(A47-Assumptions_CurrentAge))-1)), 0)</f>
      </c>
      <c r="O47" s="14">
        <f>IF(AND(Assumptions_ConsumerDebt&gt;0, A47&lt;Assumptions_ConsumerPayoffAge), IF(Assumptions_ConsumerDebtRate=0, Assumptions_ConsumerDebt/MAX(1,Assumptions_ConsumerPayoffAge-Assumptions_CurrentAge-(A47-Assumptions_CurrentAge)), Assumptions_ConsumerDebt*Assumptions_ConsumerDebtRate*(1+Assumptions_ConsumerDebtRate)^MAX(1,Assumptions_ConsumerPayoffAge-Assumptions_CurrentAge-(A47-Assumptions_CurrentAge))/((1+Assumptions_ConsumerDebtRate)^MAX(1,Assumptions_ConsumerPayoffAge-Assumptions_CurrentAge-(A47-Assumptions_CurrentAge))-1)), 0)+IF(AND(Assumptions_OtherDebt&gt;0, A47&lt;Assumptions_OtherPayoffAge), IF(Assumptions_OtherDebtRate=0, Assumptions_OtherDebt/MAX(1,Assumptions_OtherPayoffAge-Assumptions_CurrentAge-(A47-Assumptions_CurrentAge)), Assumptions_OtherDebt*Assumptions_OtherDebtRate*(1+Assumptions_OtherDebtRate)^MAX(1,Assumptions_OtherPayoffAge-Assumptions_CurrentAge-(A47-Assumptions_CurrentAge))/((1+Assumptions_OtherDebtRate)^MAX(1,Assumptions_OtherPayoffAge-Assumptions_CurrentAge-(A47-Assumptions_CurrentAge))-1)), 0)</f>
      </c>
      <c r="P47" s="14">
        <f>M47+N47+O47</f>
      </c>
      <c r="Q47" s="14">
        <f>IF(L47&lt;=0, 0, MAX(0, SUMPRODUCT(MAX(MIN(L47,FedBracketMax)-FedBracketMin,0)*FedBracketRate) - (FedBasicPersonal + IF(A47&gt;=65, MAX(0, FedAgeAmount - MAX(0, L47-FedAgeThreshold)*FedAgeClawRate), 0) + IF(OR(H47&gt;0, I47&gt;0), FedPensionCredit, 0)) * FedCreditRate))</f>
      </c>
      <c r="R47" s="14">
        <f>L47-Q47</f>
      </c>
      <c r="S47" s="14">
        <f>MAX(0,P47-R47)</f>
      </c>
      <c r="T47" s="14">
        <f>MIN(S47,AM46)</f>
      </c>
      <c r="U47" s="14">
        <f>MAX(0,S47-T47)</f>
      </c>
      <c r="V47" s="14">
        <f>MIN(U47,AN46)</f>
      </c>
      <c r="W47" s="14">
        <f>MAX(0,U47-V47)</f>
      </c>
      <c r="X47" s="16">
        <f>INDEX(FedBracketRate,MATCH(L47,FedBracketMin,1))+INDEX(ProvBracketRate,MATCH(L47,ProvBracketMin,1))</f>
      </c>
      <c r="Y47" s="14">
        <f>IF(W47&gt;0, MIN(IF(X47&gt;=1, W47, W47/(1-X47)), MAX(0,AL46-K47)), 0)</f>
      </c>
      <c r="Z47" s="14">
        <f>K47+Y47</f>
      </c>
      <c r="AA47" s="14">
        <f>IF(W47&gt;Y47*(1-X47), MIN(MAX(0,W47-Y47*(1-X47)),AO46), 0)</f>
      </c>
      <c r="AB47" s="14">
        <f>MIN(Assumptions_OasMaxAnnual, MAX(0,(E47+F47+G47+H47+Z47-Assumptions_OasClawbackThresh)*Assumptions_OasClawbackRate))</f>
      </c>
      <c r="AC47" s="14">
        <f>MAX(0,G47-AB47)</f>
      </c>
      <c r="AD47" s="14">
        <f>V47*IF(AN46&gt;0, MAX(0,1-AS46/AN46), 0)*Assumptions_CapGainsRate</f>
      </c>
      <c r="AE47" s="14">
        <f>E47+F47+AC47+H47+Z47+AD47</f>
      </c>
      <c r="AF47" s="14">
        <f>MAX(0, SUMPRODUCT(MAX(MIN(AE47,FedBracketMax)-FedBracketMin,0)*FedBracketRate) - (FedBasicPersonal + IF(A47&gt;=65, MAX(0, FedAgeAmount - MAX(0, AE47-FedAgeThreshold)*FedAgeClawRate), 0) + IF(OR(H47&gt;0, I47&gt;0), FedPensionCredit, 0)) * FedCreditRate)</f>
      </c>
      <c r="AG47" s="14">
        <f>MAX(0, SUMPRODUCT(MAX(MIN(AE47,ProvBracketMax)-ProvBracketMin,0)*ProvBracketRate) - (ProvBasicPersonal + IF(A47&gt;=65, MAX(0, ProvAgeAmount - MAX(0, AE47-ProvAgeThreshold)*ProvAgeClawRate), 0) + IF(OR(H47&gt;0, I47&gt;0), ProvPensionCredit, 0)) * ProvCreditRate) + MAX(0, (MAX(0, SUMPRODUCT(MAX(MIN(AE47,ProvBracketMax)-ProvBracketMin,0)*ProvBracketRate) - (ProvBasicPersonal + IF(A47&gt;=65, MAX(0, ProvAgeAmount - MAX(0, AE47-ProvAgeThreshold)*ProvAgeClawRate), 0) + IF(OR(H47&gt;0, I47&gt;0), ProvPensionCredit, 0)) * ProvCreditRate)-SurtaxThreshold1)*SurtaxRate1) + MAX(0, (MAX(0, SUMPRODUCT(MAX(MIN(AE47,ProvBracketMax)-ProvBracketMin,0)*ProvBracketRate) - (ProvBasicPersonal + IF(A47&gt;=65, MAX(0, ProvAgeAmount - MAX(0, AE47-ProvAgeThreshold)*ProvAgeClawRate), 0) + IF(OR(H47&gt;0, I47&gt;0), ProvPensionCredit, 0)) * ProvCreditRate)-SurtaxThreshold2)*SurtaxRate2)</f>
      </c>
      <c r="AH47" s="14">
        <f>AF47+AG47</f>
      </c>
      <c r="AI47" s="14">
        <f>E47+F47+AC47+H47+Z47+T47+V47+AA47-AH47</f>
      </c>
      <c r="AJ47" s="14">
        <f>AI47-M47-N47-O47</f>
      </c>
      <c r="AK47" s="14">
        <f>IF(AJ47&gt;0, MIN(AJ47, Assumptions_TfsaAnnualLimit), 0)</f>
      </c>
      <c r="AL47" s="14">
        <f>MAX(0,AL46-Z47)*(1+Assumptions_RealReturn)</f>
      </c>
      <c r="AM47" s="14">
        <f>MAX(0,AM46-T47+AK47)*(1+Assumptions_TfsaReturn)</f>
      </c>
      <c r="AN47" s="14">
        <f>MAX(0,AN46-V47+MAX(0,AJ47-AK47))*(1+Assumptions_NonRegReturn)</f>
      </c>
      <c r="AO47" s="14">
        <f>MAX(0,AO46-AA47)*(1+Assumptions_RealReturn)</f>
      </c>
      <c r="AP47" s="14">
        <f>IF(N47&gt;0, MAX(0, AP46*(1+Assumptions_MortgageRate)-N47), 0)</f>
      </c>
      <c r="AQ47" s="14">
        <f>AL47+AM47+AN47+AO47</f>
      </c>
      <c r="AR47" s="14">
        <f>AQ47+Assumptions_RealEstateValue-AP47</f>
      </c>
      <c r="AS47" s="14">
        <f>MAX(0,AS46*MAX(0,AN46-V47)/IF(AN46&gt;0,AN46,1))+MAX(0,AJ47-AK47)</f>
      </c>
    </row>
    <row r="48" spans="1:45" x14ac:dyDescent="0.25">
      <c r="A48" s="15">
        <f>A47+1</f>
      </c>
      <c r="B48" s="15">
        <f>2026+(A48-Assumptions_CurrentAge)</f>
      </c>
      <c r="C48" s="15">
        <f>IF(A48&gt;=Assumptions_RetirementAge,1,0)</f>
      </c>
      <c r="D48" s="17">
        <f>(1+Assumptions_Inflation)^(A48-Assumptions_CurrentAge)</f>
      </c>
      <c r="E48" s="14">
        <f>IF(AND(C48=0,Assumptions_StillWorking=1),Assumptions_EmploymentIncome*D48,0)</f>
      </c>
      <c r="F48" s="14">
        <f>IF(A48&gt;=Assumptions_CppStartAge, Assumptions_CppMonthly*12*IF((Assumptions_CppStartAge-65)*12&lt;0, 1+(Assumptions_CppStartAge-65)*12*CppEarlyReduction, 1+(Assumptions_CppStartAge-65)*12*CppLateIncrease)*D48, 0)</f>
      </c>
      <c r="G48" s="14">
        <f>IF(A48&gt;=Assumptions_OasStartAge, Assumptions_OasMonthly*12*(1+MAX(0, MIN(Assumptions_OasStartAge, OasMaxDeferAge)-OasStdStartAge)*12*OasDeferralBonus)*D48, 0)</f>
      </c>
      <c r="H48" s="14">
        <f>IF(AND(Assumptions_PensionType="db",A48&gt;=Assumptions_DbPensionStartAge), IF(Assumptions_DbPensionIndexed=1, Assumptions_DbPensionAnnual*D48, Assumptions_DbPensionAnnual), 0)</f>
      </c>
      <c r="I48" s="14">
        <f>IF(AND(A48&gt;=72,AL47&gt;0), VLOOKUP(MIN(A48,95),RrifRates,2,TRUE)*AL47, 0)</f>
      </c>
      <c r="J48" s="14">
        <f>IF(AND(Assumptions_MeltdownEnabled=1,A48&gt;=Assumptions_MeltdownStartAge,A48&lt;Assumptions_MeltdownTargetAge), MIN(Assumptions_MeltdownAnnual,AL47), 0)</f>
      </c>
      <c r="K48" s="14">
        <f>MIN(MAX(I48,J48),AL47)</f>
      </c>
      <c r="L48" s="14">
        <f>E48+F48+G48+H48+K48</f>
      </c>
      <c r="M48" s="14">
        <f>IF(C48=1, Assumptions_MonthlyExpenses*12*(1-Assumptions_ExpenseReduction), Assumptions_MonthlyExpenses*12)*D48</f>
      </c>
      <c r="N48" s="14">
        <f>IF(AND(AP47&gt;0, (A48-Assumptions_CurrentAge)&lt;Assumptions_MortgageYears), IF(Assumptions_MortgageRate=0, AP47/MAX(1,Assumptions_MortgageYears-(A48-Assumptions_CurrentAge)), AP47*Assumptions_MortgageRate*(1+Assumptions_MortgageRate)^MAX(1,Assumptions_MortgageYears-(A48-Assumptions_CurrentAge))/((1+Assumptions_MortgageRate)^MAX(1,Assumptions_MortgageYears-(A48-Assumptions_CurrentAge))-1)), 0)</f>
      </c>
      <c r="O48" s="14">
        <f>IF(AND(Assumptions_ConsumerDebt&gt;0, A48&lt;Assumptions_ConsumerPayoffAge), IF(Assumptions_ConsumerDebtRate=0, Assumptions_ConsumerDebt/MAX(1,Assumptions_ConsumerPayoffAge-Assumptions_CurrentAge-(A48-Assumptions_CurrentAge)), Assumptions_ConsumerDebt*Assumptions_ConsumerDebtRate*(1+Assumptions_ConsumerDebtRate)^MAX(1,Assumptions_ConsumerPayoffAge-Assumptions_CurrentAge-(A48-Assumptions_CurrentAge))/((1+Assumptions_ConsumerDebtRate)^MAX(1,Assumptions_ConsumerPayoffAge-Assumptions_CurrentAge-(A48-Assumptions_CurrentAge))-1)), 0)+IF(AND(Assumptions_OtherDebt&gt;0, A48&lt;Assumptions_OtherPayoffAge), IF(Assumptions_OtherDebtRate=0, Assumptions_OtherDebt/MAX(1,Assumptions_OtherPayoffAge-Assumptions_CurrentAge-(A48-Assumptions_CurrentAge)), Assumptions_OtherDebt*Assumptions_OtherDebtRate*(1+Assumptions_OtherDebtRate)^MAX(1,Assumptions_OtherPayoffAge-Assumptions_CurrentAge-(A48-Assumptions_CurrentAge))/((1+Assumptions_OtherDebtRate)^MAX(1,Assumptions_OtherPayoffAge-Assumptions_CurrentAge-(A48-Assumptions_CurrentAge))-1)), 0)</f>
      </c>
      <c r="P48" s="14">
        <f>M48+N48+O48</f>
      </c>
      <c r="Q48" s="14">
        <f>IF(L48&lt;=0, 0, MAX(0, SUMPRODUCT(MAX(MIN(L48,FedBracketMax)-FedBracketMin,0)*FedBracketRate) - (FedBasicPersonal + IF(A48&gt;=65, MAX(0, FedAgeAmount - MAX(0, L48-FedAgeThreshold)*FedAgeClawRate), 0) + IF(OR(H48&gt;0, I48&gt;0), FedPensionCredit, 0)) * FedCreditRate))</f>
      </c>
      <c r="R48" s="14">
        <f>L48-Q48</f>
      </c>
      <c r="S48" s="14">
        <f>MAX(0,P48-R48)</f>
      </c>
      <c r="T48" s="14">
        <f>MIN(S48,AM47)</f>
      </c>
      <c r="U48" s="14">
        <f>MAX(0,S48-T48)</f>
      </c>
      <c r="V48" s="14">
        <f>MIN(U48,AN47)</f>
      </c>
      <c r="W48" s="14">
        <f>MAX(0,U48-V48)</f>
      </c>
      <c r="X48" s="16">
        <f>INDEX(FedBracketRate,MATCH(L48,FedBracketMin,1))+INDEX(ProvBracketRate,MATCH(L48,ProvBracketMin,1))</f>
      </c>
      <c r="Y48" s="14">
        <f>IF(W48&gt;0, MIN(IF(X48&gt;=1, W48, W48/(1-X48)), MAX(0,AL47-K48)), 0)</f>
      </c>
      <c r="Z48" s="14">
        <f>K48+Y48</f>
      </c>
      <c r="AA48" s="14">
        <f>IF(W48&gt;Y48*(1-X48), MIN(MAX(0,W48-Y48*(1-X48)),AO47), 0)</f>
      </c>
      <c r="AB48" s="14">
        <f>MIN(Assumptions_OasMaxAnnual, MAX(0,(E48+F48+G48+H48+Z48-Assumptions_OasClawbackThresh)*Assumptions_OasClawbackRate))</f>
      </c>
      <c r="AC48" s="14">
        <f>MAX(0,G48-AB48)</f>
      </c>
      <c r="AD48" s="14">
        <f>V48*IF(AN47&gt;0, MAX(0,1-AS47/AN47), 0)*Assumptions_CapGainsRate</f>
      </c>
      <c r="AE48" s="14">
        <f>E48+F48+AC48+H48+Z48+AD48</f>
      </c>
      <c r="AF48" s="14">
        <f>MAX(0, SUMPRODUCT(MAX(MIN(AE48,FedBracketMax)-FedBracketMin,0)*FedBracketRate) - (FedBasicPersonal + IF(A48&gt;=65, MAX(0, FedAgeAmount - MAX(0, AE48-FedAgeThreshold)*FedAgeClawRate), 0) + IF(OR(H48&gt;0, I48&gt;0), FedPensionCredit, 0)) * FedCreditRate)</f>
      </c>
      <c r="AG48" s="14">
        <f>MAX(0, SUMPRODUCT(MAX(MIN(AE48,ProvBracketMax)-ProvBracketMin,0)*ProvBracketRate) - (ProvBasicPersonal + IF(A48&gt;=65, MAX(0, ProvAgeAmount - MAX(0, AE48-ProvAgeThreshold)*ProvAgeClawRate), 0) + IF(OR(H48&gt;0, I48&gt;0), ProvPensionCredit, 0)) * ProvCreditRate) + MAX(0, (MAX(0, SUMPRODUCT(MAX(MIN(AE48,ProvBracketMax)-ProvBracketMin,0)*ProvBracketRate) - (ProvBasicPersonal + IF(A48&gt;=65, MAX(0, ProvAgeAmount - MAX(0, AE48-ProvAgeThreshold)*ProvAgeClawRate), 0) + IF(OR(H48&gt;0, I48&gt;0), ProvPensionCredit, 0)) * ProvCreditRate)-SurtaxThreshold1)*SurtaxRate1) + MAX(0, (MAX(0, SUMPRODUCT(MAX(MIN(AE48,ProvBracketMax)-ProvBracketMin,0)*ProvBracketRate) - (ProvBasicPersonal + IF(A48&gt;=65, MAX(0, ProvAgeAmount - MAX(0, AE48-ProvAgeThreshold)*ProvAgeClawRate), 0) + IF(OR(H48&gt;0, I48&gt;0), ProvPensionCredit, 0)) * ProvCreditRate)-SurtaxThreshold2)*SurtaxRate2)</f>
      </c>
      <c r="AH48" s="14">
        <f>AF48+AG48</f>
      </c>
      <c r="AI48" s="14">
        <f>E48+F48+AC48+H48+Z48+T48+V48+AA48-AH48</f>
      </c>
      <c r="AJ48" s="14">
        <f>AI48-M48-N48-O48</f>
      </c>
      <c r="AK48" s="14">
        <f>IF(AJ48&gt;0, MIN(AJ48, Assumptions_TfsaAnnualLimit), 0)</f>
      </c>
      <c r="AL48" s="14">
        <f>MAX(0,AL47-Z48)*(1+Assumptions_RealReturn)</f>
      </c>
      <c r="AM48" s="14">
        <f>MAX(0,AM47-T48+AK48)*(1+Assumptions_TfsaReturn)</f>
      </c>
      <c r="AN48" s="14">
        <f>MAX(0,AN47-V48+MAX(0,AJ48-AK48))*(1+Assumptions_NonRegReturn)</f>
      </c>
      <c r="AO48" s="14">
        <f>MAX(0,AO47-AA48)*(1+Assumptions_RealReturn)</f>
      </c>
      <c r="AP48" s="14">
        <f>IF(N48&gt;0, MAX(0, AP47*(1+Assumptions_MortgageRate)-N48), 0)</f>
      </c>
      <c r="AQ48" s="14">
        <f>AL48+AM48+AN48+AO48</f>
      </c>
      <c r="AR48" s="14">
        <f>AQ48+Assumptions_RealEstateValue-AP48</f>
      </c>
      <c r="AS48" s="14">
        <f>MAX(0,AS47*MAX(0,AN47-V48)/IF(AN47&gt;0,AN47,1))+MAX(0,AJ48-AK48)</f>
      </c>
    </row>
    <row r="49" spans="1:45" x14ac:dyDescent="0.25">
      <c r="A49" s="15">
        <f>A48+1</f>
      </c>
      <c r="B49" s="15">
        <f>2026+(A49-Assumptions_CurrentAge)</f>
      </c>
      <c r="C49" s="15">
        <f>IF(A49&gt;=Assumptions_RetirementAge,1,0)</f>
      </c>
      <c r="D49" s="17">
        <f>(1+Assumptions_Inflation)^(A49-Assumptions_CurrentAge)</f>
      </c>
      <c r="E49" s="14">
        <f>IF(AND(C49=0,Assumptions_StillWorking=1),Assumptions_EmploymentIncome*D49,0)</f>
      </c>
      <c r="F49" s="14">
        <f>IF(A49&gt;=Assumptions_CppStartAge, Assumptions_CppMonthly*12*IF((Assumptions_CppStartAge-65)*12&lt;0, 1+(Assumptions_CppStartAge-65)*12*CppEarlyReduction, 1+(Assumptions_CppStartAge-65)*12*CppLateIncrease)*D49, 0)</f>
      </c>
      <c r="G49" s="14">
        <f>IF(A49&gt;=Assumptions_OasStartAge, Assumptions_OasMonthly*12*(1+MAX(0, MIN(Assumptions_OasStartAge, OasMaxDeferAge)-OasStdStartAge)*12*OasDeferralBonus)*D49, 0)</f>
      </c>
      <c r="H49" s="14">
        <f>IF(AND(Assumptions_PensionType="db",A49&gt;=Assumptions_DbPensionStartAge), IF(Assumptions_DbPensionIndexed=1, Assumptions_DbPensionAnnual*D49, Assumptions_DbPensionAnnual), 0)</f>
      </c>
      <c r="I49" s="14">
        <f>IF(AND(A49&gt;=72,AL48&gt;0), VLOOKUP(MIN(A49,95),RrifRates,2,TRUE)*AL48, 0)</f>
      </c>
      <c r="J49" s="14">
        <f>IF(AND(Assumptions_MeltdownEnabled=1,A49&gt;=Assumptions_MeltdownStartAge,A49&lt;Assumptions_MeltdownTargetAge), MIN(Assumptions_MeltdownAnnual,AL48), 0)</f>
      </c>
      <c r="K49" s="14">
        <f>MIN(MAX(I49,J49),AL48)</f>
      </c>
      <c r="L49" s="14">
        <f>E49+F49+G49+H49+K49</f>
      </c>
      <c r="M49" s="14">
        <f>IF(C49=1, Assumptions_MonthlyExpenses*12*(1-Assumptions_ExpenseReduction), Assumptions_MonthlyExpenses*12)*D49</f>
      </c>
      <c r="N49" s="14">
        <f>IF(AND(AP48&gt;0, (A49-Assumptions_CurrentAge)&lt;Assumptions_MortgageYears), IF(Assumptions_MortgageRate=0, AP48/MAX(1,Assumptions_MortgageYears-(A49-Assumptions_CurrentAge)), AP48*Assumptions_MortgageRate*(1+Assumptions_MortgageRate)^MAX(1,Assumptions_MortgageYears-(A49-Assumptions_CurrentAge))/((1+Assumptions_MortgageRate)^MAX(1,Assumptions_MortgageYears-(A49-Assumptions_CurrentAge))-1)), 0)</f>
      </c>
      <c r="O49" s="14">
        <f>IF(AND(Assumptions_ConsumerDebt&gt;0, A49&lt;Assumptions_ConsumerPayoffAge), IF(Assumptions_ConsumerDebtRate=0, Assumptions_ConsumerDebt/MAX(1,Assumptions_ConsumerPayoffAge-Assumptions_CurrentAge-(A49-Assumptions_CurrentAge)), Assumptions_ConsumerDebt*Assumptions_ConsumerDebtRate*(1+Assumptions_ConsumerDebtRate)^MAX(1,Assumptions_ConsumerPayoffAge-Assumptions_CurrentAge-(A49-Assumptions_CurrentAge))/((1+Assumptions_ConsumerDebtRate)^MAX(1,Assumptions_ConsumerPayoffAge-Assumptions_CurrentAge-(A49-Assumptions_CurrentAge))-1)), 0)+IF(AND(Assumptions_OtherDebt&gt;0, A49&lt;Assumptions_OtherPayoffAge), IF(Assumptions_OtherDebtRate=0, Assumptions_OtherDebt/MAX(1,Assumptions_OtherPayoffAge-Assumptions_CurrentAge-(A49-Assumptions_CurrentAge)), Assumptions_OtherDebt*Assumptions_OtherDebtRate*(1+Assumptions_OtherDebtRate)^MAX(1,Assumptions_OtherPayoffAge-Assumptions_CurrentAge-(A49-Assumptions_CurrentAge))/((1+Assumptions_OtherDebtRate)^MAX(1,Assumptions_OtherPayoffAge-Assumptions_CurrentAge-(A49-Assumptions_CurrentAge))-1)), 0)</f>
      </c>
      <c r="P49" s="14">
        <f>M49+N49+O49</f>
      </c>
      <c r="Q49" s="14">
        <f>IF(L49&lt;=0, 0, MAX(0, SUMPRODUCT(MAX(MIN(L49,FedBracketMax)-FedBracketMin,0)*FedBracketRate) - (FedBasicPersonal + IF(A49&gt;=65, MAX(0, FedAgeAmount - MAX(0, L49-FedAgeThreshold)*FedAgeClawRate), 0) + IF(OR(H49&gt;0, I49&gt;0), FedPensionCredit, 0)) * FedCreditRate))</f>
      </c>
      <c r="R49" s="14">
        <f>L49-Q49</f>
      </c>
      <c r="S49" s="14">
        <f>MAX(0,P49-R49)</f>
      </c>
      <c r="T49" s="14">
        <f>MIN(S49,AM48)</f>
      </c>
      <c r="U49" s="14">
        <f>MAX(0,S49-T49)</f>
      </c>
      <c r="V49" s="14">
        <f>MIN(U49,AN48)</f>
      </c>
      <c r="W49" s="14">
        <f>MAX(0,U49-V49)</f>
      </c>
      <c r="X49" s="16">
        <f>INDEX(FedBracketRate,MATCH(L49,FedBracketMin,1))+INDEX(ProvBracketRate,MATCH(L49,ProvBracketMin,1))</f>
      </c>
      <c r="Y49" s="14">
        <f>IF(W49&gt;0, MIN(IF(X49&gt;=1, W49, W49/(1-X49)), MAX(0,AL48-K49)), 0)</f>
      </c>
      <c r="Z49" s="14">
        <f>K49+Y49</f>
      </c>
      <c r="AA49" s="14">
        <f>IF(W49&gt;Y49*(1-X49), MIN(MAX(0,W49-Y49*(1-X49)),AO48), 0)</f>
      </c>
      <c r="AB49" s="14">
        <f>MIN(Assumptions_OasMaxAnnual, MAX(0,(E49+F49+G49+H49+Z49-Assumptions_OasClawbackThresh)*Assumptions_OasClawbackRate))</f>
      </c>
      <c r="AC49" s="14">
        <f>MAX(0,G49-AB49)</f>
      </c>
      <c r="AD49" s="14">
        <f>V49*IF(AN48&gt;0, MAX(0,1-AS48/AN48), 0)*Assumptions_CapGainsRate</f>
      </c>
      <c r="AE49" s="14">
        <f>E49+F49+AC49+H49+Z49+AD49</f>
      </c>
      <c r="AF49" s="14">
        <f>MAX(0, SUMPRODUCT(MAX(MIN(AE49,FedBracketMax)-FedBracketMin,0)*FedBracketRate) - (FedBasicPersonal + IF(A49&gt;=65, MAX(0, FedAgeAmount - MAX(0, AE49-FedAgeThreshold)*FedAgeClawRate), 0) + IF(OR(H49&gt;0, I49&gt;0), FedPensionCredit, 0)) * FedCreditRate)</f>
      </c>
      <c r="AG49" s="14">
        <f>MAX(0, SUMPRODUCT(MAX(MIN(AE49,ProvBracketMax)-ProvBracketMin,0)*ProvBracketRate) - (ProvBasicPersonal + IF(A49&gt;=65, MAX(0, ProvAgeAmount - MAX(0, AE49-ProvAgeThreshold)*ProvAgeClawRate), 0) + IF(OR(H49&gt;0, I49&gt;0), ProvPensionCredit, 0)) * ProvCreditRate) + MAX(0, (MAX(0, SUMPRODUCT(MAX(MIN(AE49,ProvBracketMax)-ProvBracketMin,0)*ProvBracketRate) - (ProvBasicPersonal + IF(A49&gt;=65, MAX(0, ProvAgeAmount - MAX(0, AE49-ProvAgeThreshold)*ProvAgeClawRate), 0) + IF(OR(H49&gt;0, I49&gt;0), ProvPensionCredit, 0)) * ProvCreditRate)-SurtaxThreshold1)*SurtaxRate1) + MAX(0, (MAX(0, SUMPRODUCT(MAX(MIN(AE49,ProvBracketMax)-ProvBracketMin,0)*ProvBracketRate) - (ProvBasicPersonal + IF(A49&gt;=65, MAX(0, ProvAgeAmount - MAX(0, AE49-ProvAgeThreshold)*ProvAgeClawRate), 0) + IF(OR(H49&gt;0, I49&gt;0), ProvPensionCredit, 0)) * ProvCreditRate)-SurtaxThreshold2)*SurtaxRate2)</f>
      </c>
      <c r="AH49" s="14">
        <f>AF49+AG49</f>
      </c>
      <c r="AI49" s="14">
        <f>E49+F49+AC49+H49+Z49+T49+V49+AA49-AH49</f>
      </c>
      <c r="AJ49" s="14">
        <f>AI49-M49-N49-O49</f>
      </c>
      <c r="AK49" s="14">
        <f>IF(AJ49&gt;0, MIN(AJ49, Assumptions_TfsaAnnualLimit), 0)</f>
      </c>
      <c r="AL49" s="14">
        <f>MAX(0,AL48-Z49)*(1+Assumptions_RealReturn)</f>
      </c>
      <c r="AM49" s="14">
        <f>MAX(0,AM48-T49+AK49)*(1+Assumptions_TfsaReturn)</f>
      </c>
      <c r="AN49" s="14">
        <f>MAX(0,AN48-V49+MAX(0,AJ49-AK49))*(1+Assumptions_NonRegReturn)</f>
      </c>
      <c r="AO49" s="14">
        <f>MAX(0,AO48-AA49)*(1+Assumptions_RealReturn)</f>
      </c>
      <c r="AP49" s="14">
        <f>IF(N49&gt;0, MAX(0, AP48*(1+Assumptions_MortgageRate)-N49), 0)</f>
      </c>
      <c r="AQ49" s="14">
        <f>AL49+AM49+AN49+AO49</f>
      </c>
      <c r="AR49" s="14">
        <f>AQ49+Assumptions_RealEstateValue-AP49</f>
      </c>
      <c r="AS49" s="14">
        <f>MAX(0,AS48*MAX(0,AN48-V49)/IF(AN48&gt;0,AN48,1))+MAX(0,AJ49-AK49)</f>
      </c>
    </row>
    <row r="50" spans="1:45" x14ac:dyDescent="0.25">
      <c r="A50" s="15">
        <f>A49+1</f>
      </c>
      <c r="B50" s="15">
        <f>2026+(A50-Assumptions_CurrentAge)</f>
      </c>
      <c r="C50" s="15">
        <f>IF(A50&gt;=Assumptions_RetirementAge,1,0)</f>
      </c>
      <c r="D50" s="17">
        <f>(1+Assumptions_Inflation)^(A50-Assumptions_CurrentAge)</f>
      </c>
      <c r="E50" s="14">
        <f>IF(AND(C50=0,Assumptions_StillWorking=1),Assumptions_EmploymentIncome*D50,0)</f>
      </c>
      <c r="F50" s="14">
        <f>IF(A50&gt;=Assumptions_CppStartAge, Assumptions_CppMonthly*12*IF((Assumptions_CppStartAge-65)*12&lt;0, 1+(Assumptions_CppStartAge-65)*12*CppEarlyReduction, 1+(Assumptions_CppStartAge-65)*12*CppLateIncrease)*D50, 0)</f>
      </c>
      <c r="G50" s="14">
        <f>IF(A50&gt;=Assumptions_OasStartAge, Assumptions_OasMonthly*12*(1+MAX(0, MIN(Assumptions_OasStartAge, OasMaxDeferAge)-OasStdStartAge)*12*OasDeferralBonus)*D50, 0)</f>
      </c>
      <c r="H50" s="14">
        <f>IF(AND(Assumptions_PensionType="db",A50&gt;=Assumptions_DbPensionStartAge), IF(Assumptions_DbPensionIndexed=1, Assumptions_DbPensionAnnual*D50, Assumptions_DbPensionAnnual), 0)</f>
      </c>
      <c r="I50" s="14">
        <f>IF(AND(A50&gt;=72,AL49&gt;0), VLOOKUP(MIN(A50,95),RrifRates,2,TRUE)*AL49, 0)</f>
      </c>
      <c r="J50" s="14">
        <f>IF(AND(Assumptions_MeltdownEnabled=1,A50&gt;=Assumptions_MeltdownStartAge,A50&lt;Assumptions_MeltdownTargetAge), MIN(Assumptions_MeltdownAnnual,AL49), 0)</f>
      </c>
      <c r="K50" s="14">
        <f>MIN(MAX(I50,J50),AL49)</f>
      </c>
      <c r="L50" s="14">
        <f>E50+F50+G50+H50+K50</f>
      </c>
      <c r="M50" s="14">
        <f>IF(C50=1, Assumptions_MonthlyExpenses*12*(1-Assumptions_ExpenseReduction), Assumptions_MonthlyExpenses*12)*D50</f>
      </c>
      <c r="N50" s="14">
        <f>IF(AND(AP49&gt;0, (A50-Assumptions_CurrentAge)&lt;Assumptions_MortgageYears), IF(Assumptions_MortgageRate=0, AP49/MAX(1,Assumptions_MortgageYears-(A50-Assumptions_CurrentAge)), AP49*Assumptions_MortgageRate*(1+Assumptions_MortgageRate)^MAX(1,Assumptions_MortgageYears-(A50-Assumptions_CurrentAge))/((1+Assumptions_MortgageRate)^MAX(1,Assumptions_MortgageYears-(A50-Assumptions_CurrentAge))-1)), 0)</f>
      </c>
      <c r="O50" s="14">
        <f>IF(AND(Assumptions_ConsumerDebt&gt;0, A50&lt;Assumptions_ConsumerPayoffAge), IF(Assumptions_ConsumerDebtRate=0, Assumptions_ConsumerDebt/MAX(1,Assumptions_ConsumerPayoffAge-Assumptions_CurrentAge-(A50-Assumptions_CurrentAge)), Assumptions_ConsumerDebt*Assumptions_ConsumerDebtRate*(1+Assumptions_ConsumerDebtRate)^MAX(1,Assumptions_ConsumerPayoffAge-Assumptions_CurrentAge-(A50-Assumptions_CurrentAge))/((1+Assumptions_ConsumerDebtRate)^MAX(1,Assumptions_ConsumerPayoffAge-Assumptions_CurrentAge-(A50-Assumptions_CurrentAge))-1)), 0)+IF(AND(Assumptions_OtherDebt&gt;0, A50&lt;Assumptions_OtherPayoffAge), IF(Assumptions_OtherDebtRate=0, Assumptions_OtherDebt/MAX(1,Assumptions_OtherPayoffAge-Assumptions_CurrentAge-(A50-Assumptions_CurrentAge)), Assumptions_OtherDebt*Assumptions_OtherDebtRate*(1+Assumptions_OtherDebtRate)^MAX(1,Assumptions_OtherPayoffAge-Assumptions_CurrentAge-(A50-Assumptions_CurrentAge))/((1+Assumptions_OtherDebtRate)^MAX(1,Assumptions_OtherPayoffAge-Assumptions_CurrentAge-(A50-Assumptions_CurrentAge))-1)), 0)</f>
      </c>
      <c r="P50" s="14">
        <f>M50+N50+O50</f>
      </c>
      <c r="Q50" s="14">
        <f>IF(L50&lt;=0, 0, MAX(0, SUMPRODUCT(MAX(MIN(L50,FedBracketMax)-FedBracketMin,0)*FedBracketRate) - (FedBasicPersonal + IF(A50&gt;=65, MAX(0, FedAgeAmount - MAX(0, L50-FedAgeThreshold)*FedAgeClawRate), 0) + IF(OR(H50&gt;0, I50&gt;0), FedPensionCredit, 0)) * FedCreditRate))</f>
      </c>
      <c r="R50" s="14">
        <f>L50-Q50</f>
      </c>
      <c r="S50" s="14">
        <f>MAX(0,P50-R50)</f>
      </c>
      <c r="T50" s="14">
        <f>MIN(S50,AM49)</f>
      </c>
      <c r="U50" s="14">
        <f>MAX(0,S50-T50)</f>
      </c>
      <c r="V50" s="14">
        <f>MIN(U50,AN49)</f>
      </c>
      <c r="W50" s="14">
        <f>MAX(0,U50-V50)</f>
      </c>
      <c r="X50" s="16">
        <f>INDEX(FedBracketRate,MATCH(L50,FedBracketMin,1))+INDEX(ProvBracketRate,MATCH(L50,ProvBracketMin,1))</f>
      </c>
      <c r="Y50" s="14">
        <f>IF(W50&gt;0, MIN(IF(X50&gt;=1, W50, W50/(1-X50)), MAX(0,AL49-K50)), 0)</f>
      </c>
      <c r="Z50" s="14">
        <f>K50+Y50</f>
      </c>
      <c r="AA50" s="14">
        <f>IF(W50&gt;Y50*(1-X50), MIN(MAX(0,W50-Y50*(1-X50)),AO49), 0)</f>
      </c>
      <c r="AB50" s="14">
        <f>MIN(Assumptions_OasMaxAnnual, MAX(0,(E50+F50+G50+H50+Z50-Assumptions_OasClawbackThresh)*Assumptions_OasClawbackRate))</f>
      </c>
      <c r="AC50" s="14">
        <f>MAX(0,G50-AB50)</f>
      </c>
      <c r="AD50" s="14">
        <f>V50*IF(AN49&gt;0, MAX(0,1-AS49/AN49), 0)*Assumptions_CapGainsRate</f>
      </c>
      <c r="AE50" s="14">
        <f>E50+F50+AC50+H50+Z50+AD50</f>
      </c>
      <c r="AF50" s="14">
        <f>MAX(0, SUMPRODUCT(MAX(MIN(AE50,FedBracketMax)-FedBracketMin,0)*FedBracketRate) - (FedBasicPersonal + IF(A50&gt;=65, MAX(0, FedAgeAmount - MAX(0, AE50-FedAgeThreshold)*FedAgeClawRate), 0) + IF(OR(H50&gt;0, I50&gt;0), FedPensionCredit, 0)) * FedCreditRate)</f>
      </c>
      <c r="AG50" s="14">
        <f>MAX(0, SUMPRODUCT(MAX(MIN(AE50,ProvBracketMax)-ProvBracketMin,0)*ProvBracketRate) - (ProvBasicPersonal + IF(A50&gt;=65, MAX(0, ProvAgeAmount - MAX(0, AE50-ProvAgeThreshold)*ProvAgeClawRate), 0) + IF(OR(H50&gt;0, I50&gt;0), ProvPensionCredit, 0)) * ProvCreditRate) + MAX(0, (MAX(0, SUMPRODUCT(MAX(MIN(AE50,ProvBracketMax)-ProvBracketMin,0)*ProvBracketRate) - (ProvBasicPersonal + IF(A50&gt;=65, MAX(0, ProvAgeAmount - MAX(0, AE50-ProvAgeThreshold)*ProvAgeClawRate), 0) + IF(OR(H50&gt;0, I50&gt;0), ProvPensionCredit, 0)) * ProvCreditRate)-SurtaxThreshold1)*SurtaxRate1) + MAX(0, (MAX(0, SUMPRODUCT(MAX(MIN(AE50,ProvBracketMax)-ProvBracketMin,0)*ProvBracketRate) - (ProvBasicPersonal + IF(A50&gt;=65, MAX(0, ProvAgeAmount - MAX(0, AE50-ProvAgeThreshold)*ProvAgeClawRate), 0) + IF(OR(H50&gt;0, I50&gt;0), ProvPensionCredit, 0)) * ProvCreditRate)-SurtaxThreshold2)*SurtaxRate2)</f>
      </c>
      <c r="AH50" s="14">
        <f>AF50+AG50</f>
      </c>
      <c r="AI50" s="14">
        <f>E50+F50+AC50+H50+Z50+T50+V50+AA50-AH50</f>
      </c>
      <c r="AJ50" s="14">
        <f>AI50-M50-N50-O50</f>
      </c>
      <c r="AK50" s="14">
        <f>IF(AJ50&gt;0, MIN(AJ50, Assumptions_TfsaAnnualLimit), 0)</f>
      </c>
      <c r="AL50" s="14">
        <f>MAX(0,AL49-Z50)*(1+Assumptions_RealReturn)</f>
      </c>
      <c r="AM50" s="14">
        <f>MAX(0,AM49-T50+AK50)*(1+Assumptions_TfsaReturn)</f>
      </c>
      <c r="AN50" s="14">
        <f>MAX(0,AN49-V50+MAX(0,AJ50-AK50))*(1+Assumptions_NonRegReturn)</f>
      </c>
      <c r="AO50" s="14">
        <f>MAX(0,AO49-AA50)*(1+Assumptions_RealReturn)</f>
      </c>
      <c r="AP50" s="14">
        <f>IF(N50&gt;0, MAX(0, AP49*(1+Assumptions_MortgageRate)-N50), 0)</f>
      </c>
      <c r="AQ50" s="14">
        <f>AL50+AM50+AN50+AO50</f>
      </c>
      <c r="AR50" s="14">
        <f>AQ50+Assumptions_RealEstateValue-AP50</f>
      </c>
      <c r="AS50" s="14">
        <f>MAX(0,AS49*MAX(0,AN49-V50)/IF(AN49&gt;0,AN49,1))+MAX(0,AJ50-AK50)</f>
      </c>
    </row>
    <row r="51" spans="1:45" x14ac:dyDescent="0.25">
      <c r="A51" s="15">
        <f>A50+1</f>
      </c>
      <c r="B51" s="15">
        <f>2026+(A51-Assumptions_CurrentAge)</f>
      </c>
      <c r="C51" s="15">
        <f>IF(A51&gt;=Assumptions_RetirementAge,1,0)</f>
      </c>
      <c r="D51" s="17">
        <f>(1+Assumptions_Inflation)^(A51-Assumptions_CurrentAge)</f>
      </c>
      <c r="E51" s="14">
        <f>IF(AND(C51=0,Assumptions_StillWorking=1),Assumptions_EmploymentIncome*D51,0)</f>
      </c>
      <c r="F51" s="14">
        <f>IF(A51&gt;=Assumptions_CppStartAge, Assumptions_CppMonthly*12*IF((Assumptions_CppStartAge-65)*12&lt;0, 1+(Assumptions_CppStartAge-65)*12*CppEarlyReduction, 1+(Assumptions_CppStartAge-65)*12*CppLateIncrease)*D51, 0)</f>
      </c>
      <c r="G51" s="14">
        <f>IF(A51&gt;=Assumptions_OasStartAge, Assumptions_OasMonthly*12*(1+MAX(0, MIN(Assumptions_OasStartAge, OasMaxDeferAge)-OasStdStartAge)*12*OasDeferralBonus)*D51, 0)</f>
      </c>
      <c r="H51" s="14">
        <f>IF(AND(Assumptions_PensionType="db",A51&gt;=Assumptions_DbPensionStartAge), IF(Assumptions_DbPensionIndexed=1, Assumptions_DbPensionAnnual*D51, Assumptions_DbPensionAnnual), 0)</f>
      </c>
      <c r="I51" s="14">
        <f>IF(AND(A51&gt;=72,AL50&gt;0), VLOOKUP(MIN(A51,95),RrifRates,2,TRUE)*AL50, 0)</f>
      </c>
      <c r="J51" s="14">
        <f>IF(AND(Assumptions_MeltdownEnabled=1,A51&gt;=Assumptions_MeltdownStartAge,A51&lt;Assumptions_MeltdownTargetAge), MIN(Assumptions_MeltdownAnnual,AL50), 0)</f>
      </c>
      <c r="K51" s="14">
        <f>MIN(MAX(I51,J51),AL50)</f>
      </c>
      <c r="L51" s="14">
        <f>E51+F51+G51+H51+K51</f>
      </c>
      <c r="M51" s="14">
        <f>IF(C51=1, Assumptions_MonthlyExpenses*12*(1-Assumptions_ExpenseReduction), Assumptions_MonthlyExpenses*12)*D51</f>
      </c>
      <c r="N51" s="14">
        <f>IF(AND(AP50&gt;0, (A51-Assumptions_CurrentAge)&lt;Assumptions_MortgageYears), IF(Assumptions_MortgageRate=0, AP50/MAX(1,Assumptions_MortgageYears-(A51-Assumptions_CurrentAge)), AP50*Assumptions_MortgageRate*(1+Assumptions_MortgageRate)^MAX(1,Assumptions_MortgageYears-(A51-Assumptions_CurrentAge))/((1+Assumptions_MortgageRate)^MAX(1,Assumptions_MortgageYears-(A51-Assumptions_CurrentAge))-1)), 0)</f>
      </c>
      <c r="O51" s="14">
        <f>IF(AND(Assumptions_ConsumerDebt&gt;0, A51&lt;Assumptions_ConsumerPayoffAge), IF(Assumptions_ConsumerDebtRate=0, Assumptions_ConsumerDebt/MAX(1,Assumptions_ConsumerPayoffAge-Assumptions_CurrentAge-(A51-Assumptions_CurrentAge)), Assumptions_ConsumerDebt*Assumptions_ConsumerDebtRate*(1+Assumptions_ConsumerDebtRate)^MAX(1,Assumptions_ConsumerPayoffAge-Assumptions_CurrentAge-(A51-Assumptions_CurrentAge))/((1+Assumptions_ConsumerDebtRate)^MAX(1,Assumptions_ConsumerPayoffAge-Assumptions_CurrentAge-(A51-Assumptions_CurrentAge))-1)), 0)+IF(AND(Assumptions_OtherDebt&gt;0, A51&lt;Assumptions_OtherPayoffAge), IF(Assumptions_OtherDebtRate=0, Assumptions_OtherDebt/MAX(1,Assumptions_OtherPayoffAge-Assumptions_CurrentAge-(A51-Assumptions_CurrentAge)), Assumptions_OtherDebt*Assumptions_OtherDebtRate*(1+Assumptions_OtherDebtRate)^MAX(1,Assumptions_OtherPayoffAge-Assumptions_CurrentAge-(A51-Assumptions_CurrentAge))/((1+Assumptions_OtherDebtRate)^MAX(1,Assumptions_OtherPayoffAge-Assumptions_CurrentAge-(A51-Assumptions_CurrentAge))-1)), 0)</f>
      </c>
      <c r="P51" s="14">
        <f>M51+N51+O51</f>
      </c>
      <c r="Q51" s="14">
        <f>IF(L51&lt;=0, 0, MAX(0, SUMPRODUCT(MAX(MIN(L51,FedBracketMax)-FedBracketMin,0)*FedBracketRate) - (FedBasicPersonal + IF(A51&gt;=65, MAX(0, FedAgeAmount - MAX(0, L51-FedAgeThreshold)*FedAgeClawRate), 0) + IF(OR(H51&gt;0, I51&gt;0), FedPensionCredit, 0)) * FedCreditRate))</f>
      </c>
      <c r="R51" s="14">
        <f>L51-Q51</f>
      </c>
      <c r="S51" s="14">
        <f>MAX(0,P51-R51)</f>
      </c>
      <c r="T51" s="14">
        <f>MIN(S51,AM50)</f>
      </c>
      <c r="U51" s="14">
        <f>MAX(0,S51-T51)</f>
      </c>
      <c r="V51" s="14">
        <f>MIN(U51,AN50)</f>
      </c>
      <c r="W51" s="14">
        <f>MAX(0,U51-V51)</f>
      </c>
      <c r="X51" s="16">
        <f>INDEX(FedBracketRate,MATCH(L51,FedBracketMin,1))+INDEX(ProvBracketRate,MATCH(L51,ProvBracketMin,1))</f>
      </c>
      <c r="Y51" s="14">
        <f>IF(W51&gt;0, MIN(IF(X51&gt;=1, W51, W51/(1-X51)), MAX(0,AL50-K51)), 0)</f>
      </c>
      <c r="Z51" s="14">
        <f>K51+Y51</f>
      </c>
      <c r="AA51" s="14">
        <f>IF(W51&gt;Y51*(1-X51), MIN(MAX(0,W51-Y51*(1-X51)),AO50), 0)</f>
      </c>
      <c r="AB51" s="14">
        <f>MIN(Assumptions_OasMaxAnnual, MAX(0,(E51+F51+G51+H51+Z51-Assumptions_OasClawbackThresh)*Assumptions_OasClawbackRate))</f>
      </c>
      <c r="AC51" s="14">
        <f>MAX(0,G51-AB51)</f>
      </c>
      <c r="AD51" s="14">
        <f>V51*IF(AN50&gt;0, MAX(0,1-AS50/AN50), 0)*Assumptions_CapGainsRate</f>
      </c>
      <c r="AE51" s="14">
        <f>E51+F51+AC51+H51+Z51+AD51</f>
      </c>
      <c r="AF51" s="14">
        <f>MAX(0, SUMPRODUCT(MAX(MIN(AE51,FedBracketMax)-FedBracketMin,0)*FedBracketRate) - (FedBasicPersonal + IF(A51&gt;=65, MAX(0, FedAgeAmount - MAX(0, AE51-FedAgeThreshold)*FedAgeClawRate), 0) + IF(OR(H51&gt;0, I51&gt;0), FedPensionCredit, 0)) * FedCreditRate)</f>
      </c>
      <c r="AG51" s="14">
        <f>MAX(0, SUMPRODUCT(MAX(MIN(AE51,ProvBracketMax)-ProvBracketMin,0)*ProvBracketRate) - (ProvBasicPersonal + IF(A51&gt;=65, MAX(0, ProvAgeAmount - MAX(0, AE51-ProvAgeThreshold)*ProvAgeClawRate), 0) + IF(OR(H51&gt;0, I51&gt;0), ProvPensionCredit, 0)) * ProvCreditRate) + MAX(0, (MAX(0, SUMPRODUCT(MAX(MIN(AE51,ProvBracketMax)-ProvBracketMin,0)*ProvBracketRate) - (ProvBasicPersonal + IF(A51&gt;=65, MAX(0, ProvAgeAmount - MAX(0, AE51-ProvAgeThreshold)*ProvAgeClawRate), 0) + IF(OR(H51&gt;0, I51&gt;0), ProvPensionCredit, 0)) * ProvCreditRate)-SurtaxThreshold1)*SurtaxRate1) + MAX(0, (MAX(0, SUMPRODUCT(MAX(MIN(AE51,ProvBracketMax)-ProvBracketMin,0)*ProvBracketRate) - (ProvBasicPersonal + IF(A51&gt;=65, MAX(0, ProvAgeAmount - MAX(0, AE51-ProvAgeThreshold)*ProvAgeClawRate), 0) + IF(OR(H51&gt;0, I51&gt;0), ProvPensionCredit, 0)) * ProvCreditRate)-SurtaxThreshold2)*SurtaxRate2)</f>
      </c>
      <c r="AH51" s="14">
        <f>AF51+AG51</f>
      </c>
      <c r="AI51" s="14">
        <f>E51+F51+AC51+H51+Z51+T51+V51+AA51-AH51</f>
      </c>
      <c r="AJ51" s="14">
        <f>AI51-M51-N51-O51</f>
      </c>
      <c r="AK51" s="14">
        <f>IF(AJ51&gt;0, MIN(AJ51, Assumptions_TfsaAnnualLimit), 0)</f>
      </c>
      <c r="AL51" s="14">
        <f>MAX(0,AL50-Z51)*(1+Assumptions_RealReturn)</f>
      </c>
      <c r="AM51" s="14">
        <f>MAX(0,AM50-T51+AK51)*(1+Assumptions_TfsaReturn)</f>
      </c>
      <c r="AN51" s="14">
        <f>MAX(0,AN50-V51+MAX(0,AJ51-AK51))*(1+Assumptions_NonRegReturn)</f>
      </c>
      <c r="AO51" s="14">
        <f>MAX(0,AO50-AA51)*(1+Assumptions_RealReturn)</f>
      </c>
      <c r="AP51" s="14">
        <f>IF(N51&gt;0, MAX(0, AP50*(1+Assumptions_MortgageRate)-N51), 0)</f>
      </c>
      <c r="AQ51" s="14">
        <f>AL51+AM51+AN51+AO51</f>
      </c>
      <c r="AR51" s="14">
        <f>AQ51+Assumptions_RealEstateValue-AP51</f>
      </c>
      <c r="AS51" s="14">
        <f>MAX(0,AS50*MAX(0,AN50-V51)/IF(AN50&gt;0,AN50,1))+MAX(0,AJ51-AK51)</f>
      </c>
    </row>
    <row r="52" spans="1:45" x14ac:dyDescent="0.25">
      <c r="A52" s="15">
        <f>A51+1</f>
      </c>
      <c r="B52" s="15">
        <f>2026+(A52-Assumptions_CurrentAge)</f>
      </c>
      <c r="C52" s="15">
        <f>IF(A52&gt;=Assumptions_RetirementAge,1,0)</f>
      </c>
      <c r="D52" s="17">
        <f>(1+Assumptions_Inflation)^(A52-Assumptions_CurrentAge)</f>
      </c>
      <c r="E52" s="14">
        <f>IF(AND(C52=0,Assumptions_StillWorking=1),Assumptions_EmploymentIncome*D52,0)</f>
      </c>
      <c r="F52" s="14">
        <f>IF(A52&gt;=Assumptions_CppStartAge, Assumptions_CppMonthly*12*IF((Assumptions_CppStartAge-65)*12&lt;0, 1+(Assumptions_CppStartAge-65)*12*CppEarlyReduction, 1+(Assumptions_CppStartAge-65)*12*CppLateIncrease)*D52, 0)</f>
      </c>
      <c r="G52" s="14">
        <f>IF(A52&gt;=Assumptions_OasStartAge, Assumptions_OasMonthly*12*(1+MAX(0, MIN(Assumptions_OasStartAge, OasMaxDeferAge)-OasStdStartAge)*12*OasDeferralBonus)*D52, 0)</f>
      </c>
      <c r="H52" s="14">
        <f>IF(AND(Assumptions_PensionType="db",A52&gt;=Assumptions_DbPensionStartAge), IF(Assumptions_DbPensionIndexed=1, Assumptions_DbPensionAnnual*D52, Assumptions_DbPensionAnnual), 0)</f>
      </c>
      <c r="I52" s="14">
        <f>IF(AND(A52&gt;=72,AL51&gt;0), VLOOKUP(MIN(A52,95),RrifRates,2,TRUE)*AL51, 0)</f>
      </c>
      <c r="J52" s="14">
        <f>IF(AND(Assumptions_MeltdownEnabled=1,A52&gt;=Assumptions_MeltdownStartAge,A52&lt;Assumptions_MeltdownTargetAge), MIN(Assumptions_MeltdownAnnual,AL51), 0)</f>
      </c>
      <c r="K52" s="14">
        <f>MIN(MAX(I52,J52),AL51)</f>
      </c>
      <c r="L52" s="14">
        <f>E52+F52+G52+H52+K52</f>
      </c>
      <c r="M52" s="14">
        <f>IF(C52=1, Assumptions_MonthlyExpenses*12*(1-Assumptions_ExpenseReduction), Assumptions_MonthlyExpenses*12)*D52</f>
      </c>
      <c r="N52" s="14">
        <f>IF(AND(AP51&gt;0, (A52-Assumptions_CurrentAge)&lt;Assumptions_MortgageYears), IF(Assumptions_MortgageRate=0, AP51/MAX(1,Assumptions_MortgageYears-(A52-Assumptions_CurrentAge)), AP51*Assumptions_MortgageRate*(1+Assumptions_MortgageRate)^MAX(1,Assumptions_MortgageYears-(A52-Assumptions_CurrentAge))/((1+Assumptions_MortgageRate)^MAX(1,Assumptions_MortgageYears-(A52-Assumptions_CurrentAge))-1)), 0)</f>
      </c>
      <c r="O52" s="14">
        <f>IF(AND(Assumptions_ConsumerDebt&gt;0, A52&lt;Assumptions_ConsumerPayoffAge), IF(Assumptions_ConsumerDebtRate=0, Assumptions_ConsumerDebt/MAX(1,Assumptions_ConsumerPayoffAge-Assumptions_CurrentAge-(A52-Assumptions_CurrentAge)), Assumptions_ConsumerDebt*Assumptions_ConsumerDebtRate*(1+Assumptions_ConsumerDebtRate)^MAX(1,Assumptions_ConsumerPayoffAge-Assumptions_CurrentAge-(A52-Assumptions_CurrentAge))/((1+Assumptions_ConsumerDebtRate)^MAX(1,Assumptions_ConsumerPayoffAge-Assumptions_CurrentAge-(A52-Assumptions_CurrentAge))-1)), 0)+IF(AND(Assumptions_OtherDebt&gt;0, A52&lt;Assumptions_OtherPayoffAge), IF(Assumptions_OtherDebtRate=0, Assumptions_OtherDebt/MAX(1,Assumptions_OtherPayoffAge-Assumptions_CurrentAge-(A52-Assumptions_CurrentAge)), Assumptions_OtherDebt*Assumptions_OtherDebtRate*(1+Assumptions_OtherDebtRate)^MAX(1,Assumptions_OtherPayoffAge-Assumptions_CurrentAge-(A52-Assumptions_CurrentAge))/((1+Assumptions_OtherDebtRate)^MAX(1,Assumptions_OtherPayoffAge-Assumptions_CurrentAge-(A52-Assumptions_CurrentAge))-1)), 0)</f>
      </c>
      <c r="P52" s="14">
        <f>M52+N52+O52</f>
      </c>
      <c r="Q52" s="14">
        <f>IF(L52&lt;=0, 0, MAX(0, SUMPRODUCT(MAX(MIN(L52,FedBracketMax)-FedBracketMin,0)*FedBracketRate) - (FedBasicPersonal + IF(A52&gt;=65, MAX(0, FedAgeAmount - MAX(0, L52-FedAgeThreshold)*FedAgeClawRate), 0) + IF(OR(H52&gt;0, I52&gt;0), FedPensionCredit, 0)) * FedCreditRate))</f>
      </c>
      <c r="R52" s="14">
        <f>L52-Q52</f>
      </c>
      <c r="S52" s="14">
        <f>MAX(0,P52-R52)</f>
      </c>
      <c r="T52" s="14">
        <f>MIN(S52,AM51)</f>
      </c>
      <c r="U52" s="14">
        <f>MAX(0,S52-T52)</f>
      </c>
      <c r="V52" s="14">
        <f>MIN(U52,AN51)</f>
      </c>
      <c r="W52" s="14">
        <f>MAX(0,U52-V52)</f>
      </c>
      <c r="X52" s="16">
        <f>INDEX(FedBracketRate,MATCH(L52,FedBracketMin,1))+INDEX(ProvBracketRate,MATCH(L52,ProvBracketMin,1))</f>
      </c>
      <c r="Y52" s="14">
        <f>IF(W52&gt;0, MIN(IF(X52&gt;=1, W52, W52/(1-X52)), MAX(0,AL51-K52)), 0)</f>
      </c>
      <c r="Z52" s="14">
        <f>K52+Y52</f>
      </c>
      <c r="AA52" s="14">
        <f>IF(W52&gt;Y52*(1-X52), MIN(MAX(0,W52-Y52*(1-X52)),AO51), 0)</f>
      </c>
      <c r="AB52" s="14">
        <f>MIN(Assumptions_OasMaxAnnual, MAX(0,(E52+F52+G52+H52+Z52-Assumptions_OasClawbackThresh)*Assumptions_OasClawbackRate))</f>
      </c>
      <c r="AC52" s="14">
        <f>MAX(0,G52-AB52)</f>
      </c>
      <c r="AD52" s="14">
        <f>V52*IF(AN51&gt;0, MAX(0,1-AS51/AN51), 0)*Assumptions_CapGainsRate</f>
      </c>
      <c r="AE52" s="14">
        <f>E52+F52+AC52+H52+Z52+AD52</f>
      </c>
      <c r="AF52" s="14">
        <f>MAX(0, SUMPRODUCT(MAX(MIN(AE52,FedBracketMax)-FedBracketMin,0)*FedBracketRate) - (FedBasicPersonal + IF(A52&gt;=65, MAX(0, FedAgeAmount - MAX(0, AE52-FedAgeThreshold)*FedAgeClawRate), 0) + IF(OR(H52&gt;0, I52&gt;0), FedPensionCredit, 0)) * FedCreditRate)</f>
      </c>
      <c r="AG52" s="14">
        <f>MAX(0, SUMPRODUCT(MAX(MIN(AE52,ProvBracketMax)-ProvBracketMin,0)*ProvBracketRate) - (ProvBasicPersonal + IF(A52&gt;=65, MAX(0, ProvAgeAmount - MAX(0, AE52-ProvAgeThreshold)*ProvAgeClawRate), 0) + IF(OR(H52&gt;0, I52&gt;0), ProvPensionCredit, 0)) * ProvCreditRate) + MAX(0, (MAX(0, SUMPRODUCT(MAX(MIN(AE52,ProvBracketMax)-ProvBracketMin,0)*ProvBracketRate) - (ProvBasicPersonal + IF(A52&gt;=65, MAX(0, ProvAgeAmount - MAX(0, AE52-ProvAgeThreshold)*ProvAgeClawRate), 0) + IF(OR(H52&gt;0, I52&gt;0), ProvPensionCredit, 0)) * ProvCreditRate)-SurtaxThreshold1)*SurtaxRate1) + MAX(0, (MAX(0, SUMPRODUCT(MAX(MIN(AE52,ProvBracketMax)-ProvBracketMin,0)*ProvBracketRate) - (ProvBasicPersonal + IF(A52&gt;=65, MAX(0, ProvAgeAmount - MAX(0, AE52-ProvAgeThreshold)*ProvAgeClawRate), 0) + IF(OR(H52&gt;0, I52&gt;0), ProvPensionCredit, 0)) * ProvCreditRate)-SurtaxThreshold2)*SurtaxRate2)</f>
      </c>
      <c r="AH52" s="14">
        <f>AF52+AG52</f>
      </c>
      <c r="AI52" s="14">
        <f>E52+F52+AC52+H52+Z52+T52+V52+AA52-AH52</f>
      </c>
      <c r="AJ52" s="14">
        <f>AI52-M52-N52-O52</f>
      </c>
      <c r="AK52" s="14">
        <f>IF(AJ52&gt;0, MIN(AJ52, Assumptions_TfsaAnnualLimit), 0)</f>
      </c>
      <c r="AL52" s="14">
        <f>MAX(0,AL51-Z52)*(1+Assumptions_RealReturn)</f>
      </c>
      <c r="AM52" s="14">
        <f>MAX(0,AM51-T52+AK52)*(1+Assumptions_TfsaReturn)</f>
      </c>
      <c r="AN52" s="14">
        <f>MAX(0,AN51-V52+MAX(0,AJ52-AK52))*(1+Assumptions_NonRegReturn)</f>
      </c>
      <c r="AO52" s="14">
        <f>MAX(0,AO51-AA52)*(1+Assumptions_RealReturn)</f>
      </c>
      <c r="AP52" s="14">
        <f>IF(N52&gt;0, MAX(0, AP51*(1+Assumptions_MortgageRate)-N52), 0)</f>
      </c>
      <c r="AQ52" s="14">
        <f>AL52+AM52+AN52+AO52</f>
      </c>
      <c r="AR52" s="14">
        <f>AQ52+Assumptions_RealEstateValue-AP52</f>
      </c>
      <c r="AS52" s="14">
        <f>MAX(0,AS51*MAX(0,AN51-V52)/IF(AN51&gt;0,AN51,1))+MAX(0,AJ52-AK52)</f>
      </c>
    </row>
    <row r="53" spans="1:45" x14ac:dyDescent="0.25">
      <c r="A53" s="15">
        <f>A52+1</f>
      </c>
      <c r="B53" s="15">
        <f>2026+(A53-Assumptions_CurrentAge)</f>
      </c>
      <c r="C53" s="15">
        <f>IF(A53&gt;=Assumptions_RetirementAge,1,0)</f>
      </c>
      <c r="D53" s="17">
        <f>(1+Assumptions_Inflation)^(A53-Assumptions_CurrentAge)</f>
      </c>
      <c r="E53" s="14">
        <f>IF(AND(C53=0,Assumptions_StillWorking=1),Assumptions_EmploymentIncome*D53,0)</f>
      </c>
      <c r="F53" s="14">
        <f>IF(A53&gt;=Assumptions_CppStartAge, Assumptions_CppMonthly*12*IF((Assumptions_CppStartAge-65)*12&lt;0, 1+(Assumptions_CppStartAge-65)*12*CppEarlyReduction, 1+(Assumptions_CppStartAge-65)*12*CppLateIncrease)*D53, 0)</f>
      </c>
      <c r="G53" s="14">
        <f>IF(A53&gt;=Assumptions_OasStartAge, Assumptions_OasMonthly*12*(1+MAX(0, MIN(Assumptions_OasStartAge, OasMaxDeferAge)-OasStdStartAge)*12*OasDeferralBonus)*D53, 0)</f>
      </c>
      <c r="H53" s="14">
        <f>IF(AND(Assumptions_PensionType="db",A53&gt;=Assumptions_DbPensionStartAge), IF(Assumptions_DbPensionIndexed=1, Assumptions_DbPensionAnnual*D53, Assumptions_DbPensionAnnual), 0)</f>
      </c>
      <c r="I53" s="14">
        <f>IF(AND(A53&gt;=72,AL52&gt;0), VLOOKUP(MIN(A53,95),RrifRates,2,TRUE)*AL52, 0)</f>
      </c>
      <c r="J53" s="14">
        <f>IF(AND(Assumptions_MeltdownEnabled=1,A53&gt;=Assumptions_MeltdownStartAge,A53&lt;Assumptions_MeltdownTargetAge), MIN(Assumptions_MeltdownAnnual,AL52), 0)</f>
      </c>
      <c r="K53" s="14">
        <f>MIN(MAX(I53,J53),AL52)</f>
      </c>
      <c r="L53" s="14">
        <f>E53+F53+G53+H53+K53</f>
      </c>
      <c r="M53" s="14">
        <f>IF(C53=1, Assumptions_MonthlyExpenses*12*(1-Assumptions_ExpenseReduction), Assumptions_MonthlyExpenses*12)*D53</f>
      </c>
      <c r="N53" s="14">
        <f>IF(AND(AP52&gt;0, (A53-Assumptions_CurrentAge)&lt;Assumptions_MortgageYears), IF(Assumptions_MortgageRate=0, AP52/MAX(1,Assumptions_MortgageYears-(A53-Assumptions_CurrentAge)), AP52*Assumptions_MortgageRate*(1+Assumptions_MortgageRate)^MAX(1,Assumptions_MortgageYears-(A53-Assumptions_CurrentAge))/((1+Assumptions_MortgageRate)^MAX(1,Assumptions_MortgageYears-(A53-Assumptions_CurrentAge))-1)), 0)</f>
      </c>
      <c r="O53" s="14">
        <f>IF(AND(Assumptions_ConsumerDebt&gt;0, A53&lt;Assumptions_ConsumerPayoffAge), IF(Assumptions_ConsumerDebtRate=0, Assumptions_ConsumerDebt/MAX(1,Assumptions_ConsumerPayoffAge-Assumptions_CurrentAge-(A53-Assumptions_CurrentAge)), Assumptions_ConsumerDebt*Assumptions_ConsumerDebtRate*(1+Assumptions_ConsumerDebtRate)^MAX(1,Assumptions_ConsumerPayoffAge-Assumptions_CurrentAge-(A53-Assumptions_CurrentAge))/((1+Assumptions_ConsumerDebtRate)^MAX(1,Assumptions_ConsumerPayoffAge-Assumptions_CurrentAge-(A53-Assumptions_CurrentAge))-1)), 0)+IF(AND(Assumptions_OtherDebt&gt;0, A53&lt;Assumptions_OtherPayoffAge), IF(Assumptions_OtherDebtRate=0, Assumptions_OtherDebt/MAX(1,Assumptions_OtherPayoffAge-Assumptions_CurrentAge-(A53-Assumptions_CurrentAge)), Assumptions_OtherDebt*Assumptions_OtherDebtRate*(1+Assumptions_OtherDebtRate)^MAX(1,Assumptions_OtherPayoffAge-Assumptions_CurrentAge-(A53-Assumptions_CurrentAge))/((1+Assumptions_OtherDebtRate)^MAX(1,Assumptions_OtherPayoffAge-Assumptions_CurrentAge-(A53-Assumptions_CurrentAge))-1)), 0)</f>
      </c>
      <c r="P53" s="14">
        <f>M53+N53+O53</f>
      </c>
      <c r="Q53" s="14">
        <f>IF(L53&lt;=0, 0, MAX(0, SUMPRODUCT(MAX(MIN(L53,FedBracketMax)-FedBracketMin,0)*FedBracketRate) - (FedBasicPersonal + IF(A53&gt;=65, MAX(0, FedAgeAmount - MAX(0, L53-FedAgeThreshold)*FedAgeClawRate), 0) + IF(OR(H53&gt;0, I53&gt;0), FedPensionCredit, 0)) * FedCreditRate))</f>
      </c>
      <c r="R53" s="14">
        <f>L53-Q53</f>
      </c>
      <c r="S53" s="14">
        <f>MAX(0,P53-R53)</f>
      </c>
      <c r="T53" s="14">
        <f>MIN(S53,AM52)</f>
      </c>
      <c r="U53" s="14">
        <f>MAX(0,S53-T53)</f>
      </c>
      <c r="V53" s="14">
        <f>MIN(U53,AN52)</f>
      </c>
      <c r="W53" s="14">
        <f>MAX(0,U53-V53)</f>
      </c>
      <c r="X53" s="16">
        <f>INDEX(FedBracketRate,MATCH(L53,FedBracketMin,1))+INDEX(ProvBracketRate,MATCH(L53,ProvBracketMin,1))</f>
      </c>
      <c r="Y53" s="14">
        <f>IF(W53&gt;0, MIN(IF(X53&gt;=1, W53, W53/(1-X53)), MAX(0,AL52-K53)), 0)</f>
      </c>
      <c r="Z53" s="14">
        <f>K53+Y53</f>
      </c>
      <c r="AA53" s="14">
        <f>IF(W53&gt;Y53*(1-X53), MIN(MAX(0,W53-Y53*(1-X53)),AO52), 0)</f>
      </c>
      <c r="AB53" s="14">
        <f>MIN(Assumptions_OasMaxAnnual, MAX(0,(E53+F53+G53+H53+Z53-Assumptions_OasClawbackThresh)*Assumptions_OasClawbackRate))</f>
      </c>
      <c r="AC53" s="14">
        <f>MAX(0,G53-AB53)</f>
      </c>
      <c r="AD53" s="14">
        <f>V53*IF(AN52&gt;0, MAX(0,1-AS52/AN52), 0)*Assumptions_CapGainsRate</f>
      </c>
      <c r="AE53" s="14">
        <f>E53+F53+AC53+H53+Z53+AD53</f>
      </c>
      <c r="AF53" s="14">
        <f>MAX(0, SUMPRODUCT(MAX(MIN(AE53,FedBracketMax)-FedBracketMin,0)*FedBracketRate) - (FedBasicPersonal + IF(A53&gt;=65, MAX(0, FedAgeAmount - MAX(0, AE53-FedAgeThreshold)*FedAgeClawRate), 0) + IF(OR(H53&gt;0, I53&gt;0), FedPensionCredit, 0)) * FedCreditRate)</f>
      </c>
      <c r="AG53" s="14">
        <f>MAX(0, SUMPRODUCT(MAX(MIN(AE53,ProvBracketMax)-ProvBracketMin,0)*ProvBracketRate) - (ProvBasicPersonal + IF(A53&gt;=65, MAX(0, ProvAgeAmount - MAX(0, AE53-ProvAgeThreshold)*ProvAgeClawRate), 0) + IF(OR(H53&gt;0, I53&gt;0), ProvPensionCredit, 0)) * ProvCreditRate) + MAX(0, (MAX(0, SUMPRODUCT(MAX(MIN(AE53,ProvBracketMax)-ProvBracketMin,0)*ProvBracketRate) - (ProvBasicPersonal + IF(A53&gt;=65, MAX(0, ProvAgeAmount - MAX(0, AE53-ProvAgeThreshold)*ProvAgeClawRate), 0) + IF(OR(H53&gt;0, I53&gt;0), ProvPensionCredit, 0)) * ProvCreditRate)-SurtaxThreshold1)*SurtaxRate1) + MAX(0, (MAX(0, SUMPRODUCT(MAX(MIN(AE53,ProvBracketMax)-ProvBracketMin,0)*ProvBracketRate) - (ProvBasicPersonal + IF(A53&gt;=65, MAX(0, ProvAgeAmount - MAX(0, AE53-ProvAgeThreshold)*ProvAgeClawRate), 0) + IF(OR(H53&gt;0, I53&gt;0), ProvPensionCredit, 0)) * ProvCreditRate)-SurtaxThreshold2)*SurtaxRate2)</f>
      </c>
      <c r="AH53" s="14">
        <f>AF53+AG53</f>
      </c>
      <c r="AI53" s="14">
        <f>E53+F53+AC53+H53+Z53+T53+V53+AA53-AH53</f>
      </c>
      <c r="AJ53" s="14">
        <f>AI53-M53-N53-O53</f>
      </c>
      <c r="AK53" s="14">
        <f>IF(AJ53&gt;0, MIN(AJ53, Assumptions_TfsaAnnualLimit), 0)</f>
      </c>
      <c r="AL53" s="14">
        <f>MAX(0,AL52-Z53)*(1+Assumptions_RealReturn)</f>
      </c>
      <c r="AM53" s="14">
        <f>MAX(0,AM52-T53+AK53)*(1+Assumptions_TfsaReturn)</f>
      </c>
      <c r="AN53" s="14">
        <f>MAX(0,AN52-V53+MAX(0,AJ53-AK53))*(1+Assumptions_NonRegReturn)</f>
      </c>
      <c r="AO53" s="14">
        <f>MAX(0,AO52-AA53)*(1+Assumptions_RealReturn)</f>
      </c>
      <c r="AP53" s="14">
        <f>IF(N53&gt;0, MAX(0, AP52*(1+Assumptions_MortgageRate)-N53), 0)</f>
      </c>
      <c r="AQ53" s="14">
        <f>AL53+AM53+AN53+AO53</f>
      </c>
      <c r="AR53" s="14">
        <f>AQ53+Assumptions_RealEstateValue-AP53</f>
      </c>
      <c r="AS53" s="14">
        <f>MAX(0,AS52*MAX(0,AN52-V53)/IF(AN52&gt;0,AN52,1))+MAX(0,AJ53-AK53)</f>
      </c>
    </row>
    <row r="54" spans="1:45" x14ac:dyDescent="0.25">
      <c r="A54" s="15">
        <f>A53+1</f>
      </c>
      <c r="B54" s="15">
        <f>2026+(A54-Assumptions_CurrentAge)</f>
      </c>
      <c r="C54" s="15">
        <f>IF(A54&gt;=Assumptions_RetirementAge,1,0)</f>
      </c>
      <c r="D54" s="17">
        <f>(1+Assumptions_Inflation)^(A54-Assumptions_CurrentAge)</f>
      </c>
      <c r="E54" s="14">
        <f>IF(AND(C54=0,Assumptions_StillWorking=1),Assumptions_EmploymentIncome*D54,0)</f>
      </c>
      <c r="F54" s="14">
        <f>IF(A54&gt;=Assumptions_CppStartAge, Assumptions_CppMonthly*12*IF((Assumptions_CppStartAge-65)*12&lt;0, 1+(Assumptions_CppStartAge-65)*12*CppEarlyReduction, 1+(Assumptions_CppStartAge-65)*12*CppLateIncrease)*D54, 0)</f>
      </c>
      <c r="G54" s="14">
        <f>IF(A54&gt;=Assumptions_OasStartAge, Assumptions_OasMonthly*12*(1+MAX(0, MIN(Assumptions_OasStartAge, OasMaxDeferAge)-OasStdStartAge)*12*OasDeferralBonus)*D54, 0)</f>
      </c>
      <c r="H54" s="14">
        <f>IF(AND(Assumptions_PensionType="db",A54&gt;=Assumptions_DbPensionStartAge), IF(Assumptions_DbPensionIndexed=1, Assumptions_DbPensionAnnual*D54, Assumptions_DbPensionAnnual), 0)</f>
      </c>
      <c r="I54" s="14">
        <f>IF(AND(A54&gt;=72,AL53&gt;0), VLOOKUP(MIN(A54,95),RrifRates,2,TRUE)*AL53, 0)</f>
      </c>
      <c r="J54" s="14">
        <f>IF(AND(Assumptions_MeltdownEnabled=1,A54&gt;=Assumptions_MeltdownStartAge,A54&lt;Assumptions_MeltdownTargetAge), MIN(Assumptions_MeltdownAnnual,AL53), 0)</f>
      </c>
      <c r="K54" s="14">
        <f>MIN(MAX(I54,J54),AL53)</f>
      </c>
      <c r="L54" s="14">
        <f>E54+F54+G54+H54+K54</f>
      </c>
      <c r="M54" s="14">
        <f>IF(C54=1, Assumptions_MonthlyExpenses*12*(1-Assumptions_ExpenseReduction), Assumptions_MonthlyExpenses*12)*D54</f>
      </c>
      <c r="N54" s="14">
        <f>IF(AND(AP53&gt;0, (A54-Assumptions_CurrentAge)&lt;Assumptions_MortgageYears), IF(Assumptions_MortgageRate=0, AP53/MAX(1,Assumptions_MortgageYears-(A54-Assumptions_CurrentAge)), AP53*Assumptions_MortgageRate*(1+Assumptions_MortgageRate)^MAX(1,Assumptions_MortgageYears-(A54-Assumptions_CurrentAge))/((1+Assumptions_MortgageRate)^MAX(1,Assumptions_MortgageYears-(A54-Assumptions_CurrentAge))-1)), 0)</f>
      </c>
      <c r="O54" s="14">
        <f>IF(AND(Assumptions_ConsumerDebt&gt;0, A54&lt;Assumptions_ConsumerPayoffAge), IF(Assumptions_ConsumerDebtRate=0, Assumptions_ConsumerDebt/MAX(1,Assumptions_ConsumerPayoffAge-Assumptions_CurrentAge-(A54-Assumptions_CurrentAge)), Assumptions_ConsumerDebt*Assumptions_ConsumerDebtRate*(1+Assumptions_ConsumerDebtRate)^MAX(1,Assumptions_ConsumerPayoffAge-Assumptions_CurrentAge-(A54-Assumptions_CurrentAge))/((1+Assumptions_ConsumerDebtRate)^MAX(1,Assumptions_ConsumerPayoffAge-Assumptions_CurrentAge-(A54-Assumptions_CurrentAge))-1)), 0)+IF(AND(Assumptions_OtherDebt&gt;0, A54&lt;Assumptions_OtherPayoffAge), IF(Assumptions_OtherDebtRate=0, Assumptions_OtherDebt/MAX(1,Assumptions_OtherPayoffAge-Assumptions_CurrentAge-(A54-Assumptions_CurrentAge)), Assumptions_OtherDebt*Assumptions_OtherDebtRate*(1+Assumptions_OtherDebtRate)^MAX(1,Assumptions_OtherPayoffAge-Assumptions_CurrentAge-(A54-Assumptions_CurrentAge))/((1+Assumptions_OtherDebtRate)^MAX(1,Assumptions_OtherPayoffAge-Assumptions_CurrentAge-(A54-Assumptions_CurrentAge))-1)), 0)</f>
      </c>
      <c r="P54" s="14">
        <f>M54+N54+O54</f>
      </c>
      <c r="Q54" s="14">
        <f>IF(L54&lt;=0, 0, MAX(0, SUMPRODUCT(MAX(MIN(L54,FedBracketMax)-FedBracketMin,0)*FedBracketRate) - (FedBasicPersonal + IF(A54&gt;=65, MAX(0, FedAgeAmount - MAX(0, L54-FedAgeThreshold)*FedAgeClawRate), 0) + IF(OR(H54&gt;0, I54&gt;0), FedPensionCredit, 0)) * FedCreditRate))</f>
      </c>
      <c r="R54" s="14">
        <f>L54-Q54</f>
      </c>
      <c r="S54" s="14">
        <f>MAX(0,P54-R54)</f>
      </c>
      <c r="T54" s="14">
        <f>MIN(S54,AM53)</f>
      </c>
      <c r="U54" s="14">
        <f>MAX(0,S54-T54)</f>
      </c>
      <c r="V54" s="14">
        <f>MIN(U54,AN53)</f>
      </c>
      <c r="W54" s="14">
        <f>MAX(0,U54-V54)</f>
      </c>
      <c r="X54" s="16">
        <f>INDEX(FedBracketRate,MATCH(L54,FedBracketMin,1))+INDEX(ProvBracketRate,MATCH(L54,ProvBracketMin,1))</f>
      </c>
      <c r="Y54" s="14">
        <f>IF(W54&gt;0, MIN(IF(X54&gt;=1, W54, W54/(1-X54)), MAX(0,AL53-K54)), 0)</f>
      </c>
      <c r="Z54" s="14">
        <f>K54+Y54</f>
      </c>
      <c r="AA54" s="14">
        <f>IF(W54&gt;Y54*(1-X54), MIN(MAX(0,W54-Y54*(1-X54)),AO53), 0)</f>
      </c>
      <c r="AB54" s="14">
        <f>MIN(Assumptions_OasMaxAnnual, MAX(0,(E54+F54+G54+H54+Z54-Assumptions_OasClawbackThresh)*Assumptions_OasClawbackRate))</f>
      </c>
      <c r="AC54" s="14">
        <f>MAX(0,G54-AB54)</f>
      </c>
      <c r="AD54" s="14">
        <f>V54*IF(AN53&gt;0, MAX(0,1-AS53/AN53), 0)*Assumptions_CapGainsRate</f>
      </c>
      <c r="AE54" s="14">
        <f>E54+F54+AC54+H54+Z54+AD54</f>
      </c>
      <c r="AF54" s="14">
        <f>MAX(0, SUMPRODUCT(MAX(MIN(AE54,FedBracketMax)-FedBracketMin,0)*FedBracketRate) - (FedBasicPersonal + IF(A54&gt;=65, MAX(0, FedAgeAmount - MAX(0, AE54-FedAgeThreshold)*FedAgeClawRate), 0) + IF(OR(H54&gt;0, I54&gt;0), FedPensionCredit, 0)) * FedCreditRate)</f>
      </c>
      <c r="AG54" s="14">
        <f>MAX(0, SUMPRODUCT(MAX(MIN(AE54,ProvBracketMax)-ProvBracketMin,0)*ProvBracketRate) - (ProvBasicPersonal + IF(A54&gt;=65, MAX(0, ProvAgeAmount - MAX(0, AE54-ProvAgeThreshold)*ProvAgeClawRate), 0) + IF(OR(H54&gt;0, I54&gt;0), ProvPensionCredit, 0)) * ProvCreditRate) + MAX(0, (MAX(0, SUMPRODUCT(MAX(MIN(AE54,ProvBracketMax)-ProvBracketMin,0)*ProvBracketRate) - (ProvBasicPersonal + IF(A54&gt;=65, MAX(0, ProvAgeAmount - MAX(0, AE54-ProvAgeThreshold)*ProvAgeClawRate), 0) + IF(OR(H54&gt;0, I54&gt;0), ProvPensionCredit, 0)) * ProvCreditRate)-SurtaxThreshold1)*SurtaxRate1) + MAX(0, (MAX(0, SUMPRODUCT(MAX(MIN(AE54,ProvBracketMax)-ProvBracketMin,0)*ProvBracketRate) - (ProvBasicPersonal + IF(A54&gt;=65, MAX(0, ProvAgeAmount - MAX(0, AE54-ProvAgeThreshold)*ProvAgeClawRate), 0) + IF(OR(H54&gt;0, I54&gt;0), ProvPensionCredit, 0)) * ProvCreditRate)-SurtaxThreshold2)*SurtaxRate2)</f>
      </c>
      <c r="AH54" s="14">
        <f>AF54+AG54</f>
      </c>
      <c r="AI54" s="14">
        <f>E54+F54+AC54+H54+Z54+T54+V54+AA54-AH54</f>
      </c>
      <c r="AJ54" s="14">
        <f>AI54-M54-N54-O54</f>
      </c>
      <c r="AK54" s="14">
        <f>IF(AJ54&gt;0, MIN(AJ54, Assumptions_TfsaAnnualLimit), 0)</f>
      </c>
      <c r="AL54" s="14">
        <f>MAX(0,AL53-Z54)*(1+Assumptions_RealReturn)</f>
      </c>
      <c r="AM54" s="14">
        <f>MAX(0,AM53-T54+AK54)*(1+Assumptions_TfsaReturn)</f>
      </c>
      <c r="AN54" s="14">
        <f>MAX(0,AN53-V54+MAX(0,AJ54-AK54))*(1+Assumptions_NonRegReturn)</f>
      </c>
      <c r="AO54" s="14">
        <f>MAX(0,AO53-AA54)*(1+Assumptions_RealReturn)</f>
      </c>
      <c r="AP54" s="14">
        <f>IF(N54&gt;0, MAX(0, AP53*(1+Assumptions_MortgageRate)-N54), 0)</f>
      </c>
      <c r="AQ54" s="14">
        <f>AL54+AM54+AN54+AO54</f>
      </c>
      <c r="AR54" s="14">
        <f>AQ54+Assumptions_RealEstateValue-AP54</f>
      </c>
      <c r="AS54" s="14">
        <f>MAX(0,AS53*MAX(0,AN53-V54)/IF(AN53&gt;0,AN53,1))+MAX(0,AJ54-AK54)</f>
      </c>
    </row>
    <row r="55" spans="1:45" x14ac:dyDescent="0.25">
      <c r="A55" s="15">
        <f>A54+1</f>
      </c>
      <c r="B55" s="15">
        <f>2026+(A55-Assumptions_CurrentAge)</f>
      </c>
      <c r="C55" s="15">
        <f>IF(A55&gt;=Assumptions_RetirementAge,1,0)</f>
      </c>
      <c r="D55" s="17">
        <f>(1+Assumptions_Inflation)^(A55-Assumptions_CurrentAge)</f>
      </c>
      <c r="E55" s="14">
        <f>IF(AND(C55=0,Assumptions_StillWorking=1),Assumptions_EmploymentIncome*D55,0)</f>
      </c>
      <c r="F55" s="14">
        <f>IF(A55&gt;=Assumptions_CppStartAge, Assumptions_CppMonthly*12*IF((Assumptions_CppStartAge-65)*12&lt;0, 1+(Assumptions_CppStartAge-65)*12*CppEarlyReduction, 1+(Assumptions_CppStartAge-65)*12*CppLateIncrease)*D55, 0)</f>
      </c>
      <c r="G55" s="14">
        <f>IF(A55&gt;=Assumptions_OasStartAge, Assumptions_OasMonthly*12*(1+MAX(0, MIN(Assumptions_OasStartAge, OasMaxDeferAge)-OasStdStartAge)*12*OasDeferralBonus)*D55, 0)</f>
      </c>
      <c r="H55" s="14">
        <f>IF(AND(Assumptions_PensionType="db",A55&gt;=Assumptions_DbPensionStartAge), IF(Assumptions_DbPensionIndexed=1, Assumptions_DbPensionAnnual*D55, Assumptions_DbPensionAnnual), 0)</f>
      </c>
      <c r="I55" s="14">
        <f>IF(AND(A55&gt;=72,AL54&gt;0), VLOOKUP(MIN(A55,95),RrifRates,2,TRUE)*AL54, 0)</f>
      </c>
      <c r="J55" s="14">
        <f>IF(AND(Assumptions_MeltdownEnabled=1,A55&gt;=Assumptions_MeltdownStartAge,A55&lt;Assumptions_MeltdownTargetAge), MIN(Assumptions_MeltdownAnnual,AL54), 0)</f>
      </c>
      <c r="K55" s="14">
        <f>MIN(MAX(I55,J55),AL54)</f>
      </c>
      <c r="L55" s="14">
        <f>E55+F55+G55+H55+K55</f>
      </c>
      <c r="M55" s="14">
        <f>IF(C55=1, Assumptions_MonthlyExpenses*12*(1-Assumptions_ExpenseReduction), Assumptions_MonthlyExpenses*12)*D55</f>
      </c>
      <c r="N55" s="14">
        <f>IF(AND(AP54&gt;0, (A55-Assumptions_CurrentAge)&lt;Assumptions_MortgageYears), IF(Assumptions_MortgageRate=0, AP54/MAX(1,Assumptions_MortgageYears-(A55-Assumptions_CurrentAge)), AP54*Assumptions_MortgageRate*(1+Assumptions_MortgageRate)^MAX(1,Assumptions_MortgageYears-(A55-Assumptions_CurrentAge))/((1+Assumptions_MortgageRate)^MAX(1,Assumptions_MortgageYears-(A55-Assumptions_CurrentAge))-1)), 0)</f>
      </c>
      <c r="O55" s="14">
        <f>IF(AND(Assumptions_ConsumerDebt&gt;0, A55&lt;Assumptions_ConsumerPayoffAge), IF(Assumptions_ConsumerDebtRate=0, Assumptions_ConsumerDebt/MAX(1,Assumptions_ConsumerPayoffAge-Assumptions_CurrentAge-(A55-Assumptions_CurrentAge)), Assumptions_ConsumerDebt*Assumptions_ConsumerDebtRate*(1+Assumptions_ConsumerDebtRate)^MAX(1,Assumptions_ConsumerPayoffAge-Assumptions_CurrentAge-(A55-Assumptions_CurrentAge))/((1+Assumptions_ConsumerDebtRate)^MAX(1,Assumptions_ConsumerPayoffAge-Assumptions_CurrentAge-(A55-Assumptions_CurrentAge))-1)), 0)+IF(AND(Assumptions_OtherDebt&gt;0, A55&lt;Assumptions_OtherPayoffAge), IF(Assumptions_OtherDebtRate=0, Assumptions_OtherDebt/MAX(1,Assumptions_OtherPayoffAge-Assumptions_CurrentAge-(A55-Assumptions_CurrentAge)), Assumptions_OtherDebt*Assumptions_OtherDebtRate*(1+Assumptions_OtherDebtRate)^MAX(1,Assumptions_OtherPayoffAge-Assumptions_CurrentAge-(A55-Assumptions_CurrentAge))/((1+Assumptions_OtherDebtRate)^MAX(1,Assumptions_OtherPayoffAge-Assumptions_CurrentAge-(A55-Assumptions_CurrentAge))-1)), 0)</f>
      </c>
      <c r="P55" s="14">
        <f>M55+N55+O55</f>
      </c>
      <c r="Q55" s="14">
        <f>IF(L55&lt;=0, 0, MAX(0, SUMPRODUCT(MAX(MIN(L55,FedBracketMax)-FedBracketMin,0)*FedBracketRate) - (FedBasicPersonal + IF(A55&gt;=65, MAX(0, FedAgeAmount - MAX(0, L55-FedAgeThreshold)*FedAgeClawRate), 0) + IF(OR(H55&gt;0, I55&gt;0), FedPensionCredit, 0)) * FedCreditRate))</f>
      </c>
      <c r="R55" s="14">
        <f>L55-Q55</f>
      </c>
      <c r="S55" s="14">
        <f>MAX(0,P55-R55)</f>
      </c>
      <c r="T55" s="14">
        <f>MIN(S55,AM54)</f>
      </c>
      <c r="U55" s="14">
        <f>MAX(0,S55-T55)</f>
      </c>
      <c r="V55" s="14">
        <f>MIN(U55,AN54)</f>
      </c>
      <c r="W55" s="14">
        <f>MAX(0,U55-V55)</f>
      </c>
      <c r="X55" s="16">
        <f>INDEX(FedBracketRate,MATCH(L55,FedBracketMin,1))+INDEX(ProvBracketRate,MATCH(L55,ProvBracketMin,1))</f>
      </c>
      <c r="Y55" s="14">
        <f>IF(W55&gt;0, MIN(IF(X55&gt;=1, W55, W55/(1-X55)), MAX(0,AL54-K55)), 0)</f>
      </c>
      <c r="Z55" s="14">
        <f>K55+Y55</f>
      </c>
      <c r="AA55" s="14">
        <f>IF(W55&gt;Y55*(1-X55), MIN(MAX(0,W55-Y55*(1-X55)),AO54), 0)</f>
      </c>
      <c r="AB55" s="14">
        <f>MIN(Assumptions_OasMaxAnnual, MAX(0,(E55+F55+G55+H55+Z55-Assumptions_OasClawbackThresh)*Assumptions_OasClawbackRate))</f>
      </c>
      <c r="AC55" s="14">
        <f>MAX(0,G55-AB55)</f>
      </c>
      <c r="AD55" s="14">
        <f>V55*IF(AN54&gt;0, MAX(0,1-AS54/AN54), 0)*Assumptions_CapGainsRate</f>
      </c>
      <c r="AE55" s="14">
        <f>E55+F55+AC55+H55+Z55+AD55</f>
      </c>
      <c r="AF55" s="14">
        <f>MAX(0, SUMPRODUCT(MAX(MIN(AE55,FedBracketMax)-FedBracketMin,0)*FedBracketRate) - (FedBasicPersonal + IF(A55&gt;=65, MAX(0, FedAgeAmount - MAX(0, AE55-FedAgeThreshold)*FedAgeClawRate), 0) + IF(OR(H55&gt;0, I55&gt;0), FedPensionCredit, 0)) * FedCreditRate)</f>
      </c>
      <c r="AG55" s="14">
        <f>MAX(0, SUMPRODUCT(MAX(MIN(AE55,ProvBracketMax)-ProvBracketMin,0)*ProvBracketRate) - (ProvBasicPersonal + IF(A55&gt;=65, MAX(0, ProvAgeAmount - MAX(0, AE55-ProvAgeThreshold)*ProvAgeClawRate), 0) + IF(OR(H55&gt;0, I55&gt;0), ProvPensionCredit, 0)) * ProvCreditRate) + MAX(0, (MAX(0, SUMPRODUCT(MAX(MIN(AE55,ProvBracketMax)-ProvBracketMin,0)*ProvBracketRate) - (ProvBasicPersonal + IF(A55&gt;=65, MAX(0, ProvAgeAmount - MAX(0, AE55-ProvAgeThreshold)*ProvAgeClawRate), 0) + IF(OR(H55&gt;0, I55&gt;0), ProvPensionCredit, 0)) * ProvCreditRate)-SurtaxThreshold1)*SurtaxRate1) + MAX(0, (MAX(0, SUMPRODUCT(MAX(MIN(AE55,ProvBracketMax)-ProvBracketMin,0)*ProvBracketRate) - (ProvBasicPersonal + IF(A55&gt;=65, MAX(0, ProvAgeAmount - MAX(0, AE55-ProvAgeThreshold)*ProvAgeClawRate), 0) + IF(OR(H55&gt;0, I55&gt;0), ProvPensionCredit, 0)) * ProvCreditRate)-SurtaxThreshold2)*SurtaxRate2)</f>
      </c>
      <c r="AH55" s="14">
        <f>AF55+AG55</f>
      </c>
      <c r="AI55" s="14">
        <f>E55+F55+AC55+H55+Z55+T55+V55+AA55-AH55</f>
      </c>
      <c r="AJ55" s="14">
        <f>AI55-M55-N55-O55</f>
      </c>
      <c r="AK55" s="14">
        <f>IF(AJ55&gt;0, MIN(AJ55, Assumptions_TfsaAnnualLimit), 0)</f>
      </c>
      <c r="AL55" s="14">
        <f>MAX(0,AL54-Z55)*(1+Assumptions_RealReturn)</f>
      </c>
      <c r="AM55" s="14">
        <f>MAX(0,AM54-T55+AK55)*(1+Assumptions_TfsaReturn)</f>
      </c>
      <c r="AN55" s="14">
        <f>MAX(0,AN54-V55+MAX(0,AJ55-AK55))*(1+Assumptions_NonRegReturn)</f>
      </c>
      <c r="AO55" s="14">
        <f>MAX(0,AO54-AA55)*(1+Assumptions_RealReturn)</f>
      </c>
      <c r="AP55" s="14">
        <f>IF(N55&gt;0, MAX(0, AP54*(1+Assumptions_MortgageRate)-N55), 0)</f>
      </c>
      <c r="AQ55" s="14">
        <f>AL55+AM55+AN55+AO55</f>
      </c>
      <c r="AR55" s="14">
        <f>AQ55+Assumptions_RealEstateValue-AP55</f>
      </c>
      <c r="AS55" s="14">
        <f>MAX(0,AS54*MAX(0,AN54-V55)/IF(AN54&gt;0,AN54,1))+MAX(0,AJ55-AK55)</f>
      </c>
    </row>
    <row r="56" spans="1:45" x14ac:dyDescent="0.25">
      <c r="A56" s="15">
        <f>A55+1</f>
      </c>
      <c r="B56" s="15">
        <f>2026+(A56-Assumptions_CurrentAge)</f>
      </c>
      <c r="C56" s="15">
        <f>IF(A56&gt;=Assumptions_RetirementAge,1,0)</f>
      </c>
      <c r="D56" s="17">
        <f>(1+Assumptions_Inflation)^(A56-Assumptions_CurrentAge)</f>
      </c>
      <c r="E56" s="14">
        <f>IF(AND(C56=0,Assumptions_StillWorking=1),Assumptions_EmploymentIncome*D56,0)</f>
      </c>
      <c r="F56" s="14">
        <f>IF(A56&gt;=Assumptions_CppStartAge, Assumptions_CppMonthly*12*IF((Assumptions_CppStartAge-65)*12&lt;0, 1+(Assumptions_CppStartAge-65)*12*CppEarlyReduction, 1+(Assumptions_CppStartAge-65)*12*CppLateIncrease)*D56, 0)</f>
      </c>
      <c r="G56" s="14">
        <f>IF(A56&gt;=Assumptions_OasStartAge, Assumptions_OasMonthly*12*(1+MAX(0, MIN(Assumptions_OasStartAge, OasMaxDeferAge)-OasStdStartAge)*12*OasDeferralBonus)*D56, 0)</f>
      </c>
      <c r="H56" s="14">
        <f>IF(AND(Assumptions_PensionType="db",A56&gt;=Assumptions_DbPensionStartAge), IF(Assumptions_DbPensionIndexed=1, Assumptions_DbPensionAnnual*D56, Assumptions_DbPensionAnnual), 0)</f>
      </c>
      <c r="I56" s="14">
        <f>IF(AND(A56&gt;=72,AL55&gt;0), VLOOKUP(MIN(A56,95),RrifRates,2,TRUE)*AL55, 0)</f>
      </c>
      <c r="J56" s="14">
        <f>IF(AND(Assumptions_MeltdownEnabled=1,A56&gt;=Assumptions_MeltdownStartAge,A56&lt;Assumptions_MeltdownTargetAge), MIN(Assumptions_MeltdownAnnual,AL55), 0)</f>
      </c>
      <c r="K56" s="14">
        <f>MIN(MAX(I56,J56),AL55)</f>
      </c>
      <c r="L56" s="14">
        <f>E56+F56+G56+H56+K56</f>
      </c>
      <c r="M56" s="14">
        <f>IF(C56=1, Assumptions_MonthlyExpenses*12*(1-Assumptions_ExpenseReduction), Assumptions_MonthlyExpenses*12)*D56</f>
      </c>
      <c r="N56" s="14">
        <f>IF(AND(AP55&gt;0, (A56-Assumptions_CurrentAge)&lt;Assumptions_MortgageYears), IF(Assumptions_MortgageRate=0, AP55/MAX(1,Assumptions_MortgageYears-(A56-Assumptions_CurrentAge)), AP55*Assumptions_MortgageRate*(1+Assumptions_MortgageRate)^MAX(1,Assumptions_MortgageYears-(A56-Assumptions_CurrentAge))/((1+Assumptions_MortgageRate)^MAX(1,Assumptions_MortgageYears-(A56-Assumptions_CurrentAge))-1)), 0)</f>
      </c>
      <c r="O56" s="14">
        <f>IF(AND(Assumptions_ConsumerDebt&gt;0, A56&lt;Assumptions_ConsumerPayoffAge), IF(Assumptions_ConsumerDebtRate=0, Assumptions_ConsumerDebt/MAX(1,Assumptions_ConsumerPayoffAge-Assumptions_CurrentAge-(A56-Assumptions_CurrentAge)), Assumptions_ConsumerDebt*Assumptions_ConsumerDebtRate*(1+Assumptions_ConsumerDebtRate)^MAX(1,Assumptions_ConsumerPayoffAge-Assumptions_CurrentAge-(A56-Assumptions_CurrentAge))/((1+Assumptions_ConsumerDebtRate)^MAX(1,Assumptions_ConsumerPayoffAge-Assumptions_CurrentAge-(A56-Assumptions_CurrentAge))-1)), 0)+IF(AND(Assumptions_OtherDebt&gt;0, A56&lt;Assumptions_OtherPayoffAge), IF(Assumptions_OtherDebtRate=0, Assumptions_OtherDebt/MAX(1,Assumptions_OtherPayoffAge-Assumptions_CurrentAge-(A56-Assumptions_CurrentAge)), Assumptions_OtherDebt*Assumptions_OtherDebtRate*(1+Assumptions_OtherDebtRate)^MAX(1,Assumptions_OtherPayoffAge-Assumptions_CurrentAge-(A56-Assumptions_CurrentAge))/((1+Assumptions_OtherDebtRate)^MAX(1,Assumptions_OtherPayoffAge-Assumptions_CurrentAge-(A56-Assumptions_CurrentAge))-1)), 0)</f>
      </c>
      <c r="P56" s="14">
        <f>M56+N56+O56</f>
      </c>
      <c r="Q56" s="14">
        <f>IF(L56&lt;=0, 0, MAX(0, SUMPRODUCT(MAX(MIN(L56,FedBracketMax)-FedBracketMin,0)*FedBracketRate) - (FedBasicPersonal + IF(A56&gt;=65, MAX(0, FedAgeAmount - MAX(0, L56-FedAgeThreshold)*FedAgeClawRate), 0) + IF(OR(H56&gt;0, I56&gt;0), FedPensionCredit, 0)) * FedCreditRate))</f>
      </c>
      <c r="R56" s="14">
        <f>L56-Q56</f>
      </c>
      <c r="S56" s="14">
        <f>MAX(0,P56-R56)</f>
      </c>
      <c r="T56" s="14">
        <f>MIN(S56,AM55)</f>
      </c>
      <c r="U56" s="14">
        <f>MAX(0,S56-T56)</f>
      </c>
      <c r="V56" s="14">
        <f>MIN(U56,AN55)</f>
      </c>
      <c r="W56" s="14">
        <f>MAX(0,U56-V56)</f>
      </c>
      <c r="X56" s="16">
        <f>INDEX(FedBracketRate,MATCH(L56,FedBracketMin,1))+INDEX(ProvBracketRate,MATCH(L56,ProvBracketMin,1))</f>
      </c>
      <c r="Y56" s="14">
        <f>IF(W56&gt;0, MIN(IF(X56&gt;=1, W56, W56/(1-X56)), MAX(0,AL55-K56)), 0)</f>
      </c>
      <c r="Z56" s="14">
        <f>K56+Y56</f>
      </c>
      <c r="AA56" s="14">
        <f>IF(W56&gt;Y56*(1-X56), MIN(MAX(0,W56-Y56*(1-X56)),AO55), 0)</f>
      </c>
      <c r="AB56" s="14">
        <f>MIN(Assumptions_OasMaxAnnual, MAX(0,(E56+F56+G56+H56+Z56-Assumptions_OasClawbackThresh)*Assumptions_OasClawbackRate))</f>
      </c>
      <c r="AC56" s="14">
        <f>MAX(0,G56-AB56)</f>
      </c>
      <c r="AD56" s="14">
        <f>V56*IF(AN55&gt;0, MAX(0,1-AS55/AN55), 0)*Assumptions_CapGainsRate</f>
      </c>
      <c r="AE56" s="14">
        <f>E56+F56+AC56+H56+Z56+AD56</f>
      </c>
      <c r="AF56" s="14">
        <f>MAX(0, SUMPRODUCT(MAX(MIN(AE56,FedBracketMax)-FedBracketMin,0)*FedBracketRate) - (FedBasicPersonal + IF(A56&gt;=65, MAX(0, FedAgeAmount - MAX(0, AE56-FedAgeThreshold)*FedAgeClawRate), 0) + IF(OR(H56&gt;0, I56&gt;0), FedPensionCredit, 0)) * FedCreditRate)</f>
      </c>
      <c r="AG56" s="14">
        <f>MAX(0, SUMPRODUCT(MAX(MIN(AE56,ProvBracketMax)-ProvBracketMin,0)*ProvBracketRate) - (ProvBasicPersonal + IF(A56&gt;=65, MAX(0, ProvAgeAmount - MAX(0, AE56-ProvAgeThreshold)*ProvAgeClawRate), 0) + IF(OR(H56&gt;0, I56&gt;0), ProvPensionCredit, 0)) * ProvCreditRate) + MAX(0, (MAX(0, SUMPRODUCT(MAX(MIN(AE56,ProvBracketMax)-ProvBracketMin,0)*ProvBracketRate) - (ProvBasicPersonal + IF(A56&gt;=65, MAX(0, ProvAgeAmount - MAX(0, AE56-ProvAgeThreshold)*ProvAgeClawRate), 0) + IF(OR(H56&gt;0, I56&gt;0), ProvPensionCredit, 0)) * ProvCreditRate)-SurtaxThreshold1)*SurtaxRate1) + MAX(0, (MAX(0, SUMPRODUCT(MAX(MIN(AE56,ProvBracketMax)-ProvBracketMin,0)*ProvBracketRate) - (ProvBasicPersonal + IF(A56&gt;=65, MAX(0, ProvAgeAmount - MAX(0, AE56-ProvAgeThreshold)*ProvAgeClawRate), 0) + IF(OR(H56&gt;0, I56&gt;0), ProvPensionCredit, 0)) * ProvCreditRate)-SurtaxThreshold2)*SurtaxRate2)</f>
      </c>
      <c r="AH56" s="14">
        <f>AF56+AG56</f>
      </c>
      <c r="AI56" s="14">
        <f>E56+F56+AC56+H56+Z56+T56+V56+AA56-AH56</f>
      </c>
      <c r="AJ56" s="14">
        <f>AI56-M56-N56-O56</f>
      </c>
      <c r="AK56" s="14">
        <f>IF(AJ56&gt;0, MIN(AJ56, Assumptions_TfsaAnnualLimit), 0)</f>
      </c>
      <c r="AL56" s="14">
        <f>MAX(0,AL55-Z56)*(1+Assumptions_RealReturn)</f>
      </c>
      <c r="AM56" s="14">
        <f>MAX(0,AM55-T56+AK56)*(1+Assumptions_TfsaReturn)</f>
      </c>
      <c r="AN56" s="14">
        <f>MAX(0,AN55-V56+MAX(0,AJ56-AK56))*(1+Assumptions_NonRegReturn)</f>
      </c>
      <c r="AO56" s="14">
        <f>MAX(0,AO55-AA56)*(1+Assumptions_RealReturn)</f>
      </c>
      <c r="AP56" s="14">
        <f>IF(N56&gt;0, MAX(0, AP55*(1+Assumptions_MortgageRate)-N56), 0)</f>
      </c>
      <c r="AQ56" s="14">
        <f>AL56+AM56+AN56+AO56</f>
      </c>
      <c r="AR56" s="14">
        <f>AQ56+Assumptions_RealEstateValue-AP56</f>
      </c>
      <c r="AS56" s="14">
        <f>MAX(0,AS55*MAX(0,AN55-V56)/IF(AN55&gt;0,AN55,1))+MAX(0,AJ56-AK56)</f>
      </c>
    </row>
    <row r="57" spans="1:45" x14ac:dyDescent="0.25">
      <c r="A57" s="15">
        <f>A56+1</f>
      </c>
      <c r="B57" s="15">
        <f>2026+(A57-Assumptions_CurrentAge)</f>
      </c>
      <c r="C57" s="15">
        <f>IF(A57&gt;=Assumptions_RetirementAge,1,0)</f>
      </c>
      <c r="D57" s="17">
        <f>(1+Assumptions_Inflation)^(A57-Assumptions_CurrentAge)</f>
      </c>
      <c r="E57" s="14">
        <f>IF(AND(C57=0,Assumptions_StillWorking=1),Assumptions_EmploymentIncome*D57,0)</f>
      </c>
      <c r="F57" s="14">
        <f>IF(A57&gt;=Assumptions_CppStartAge, Assumptions_CppMonthly*12*IF((Assumptions_CppStartAge-65)*12&lt;0, 1+(Assumptions_CppStartAge-65)*12*CppEarlyReduction, 1+(Assumptions_CppStartAge-65)*12*CppLateIncrease)*D57, 0)</f>
      </c>
      <c r="G57" s="14">
        <f>IF(A57&gt;=Assumptions_OasStartAge, Assumptions_OasMonthly*12*(1+MAX(0, MIN(Assumptions_OasStartAge, OasMaxDeferAge)-OasStdStartAge)*12*OasDeferralBonus)*D57, 0)</f>
      </c>
      <c r="H57" s="14">
        <f>IF(AND(Assumptions_PensionType="db",A57&gt;=Assumptions_DbPensionStartAge), IF(Assumptions_DbPensionIndexed=1, Assumptions_DbPensionAnnual*D57, Assumptions_DbPensionAnnual), 0)</f>
      </c>
      <c r="I57" s="14">
        <f>IF(AND(A57&gt;=72,AL56&gt;0), VLOOKUP(MIN(A57,95),RrifRates,2,TRUE)*AL56, 0)</f>
      </c>
      <c r="J57" s="14">
        <f>IF(AND(Assumptions_MeltdownEnabled=1,A57&gt;=Assumptions_MeltdownStartAge,A57&lt;Assumptions_MeltdownTargetAge), MIN(Assumptions_MeltdownAnnual,AL56), 0)</f>
      </c>
      <c r="K57" s="14">
        <f>MIN(MAX(I57,J57),AL56)</f>
      </c>
      <c r="L57" s="14">
        <f>E57+F57+G57+H57+K57</f>
      </c>
      <c r="M57" s="14">
        <f>IF(C57=1, Assumptions_MonthlyExpenses*12*(1-Assumptions_ExpenseReduction), Assumptions_MonthlyExpenses*12)*D57</f>
      </c>
      <c r="N57" s="14">
        <f>IF(AND(AP56&gt;0, (A57-Assumptions_CurrentAge)&lt;Assumptions_MortgageYears), IF(Assumptions_MortgageRate=0, AP56/MAX(1,Assumptions_MortgageYears-(A57-Assumptions_CurrentAge)), AP56*Assumptions_MortgageRate*(1+Assumptions_MortgageRate)^MAX(1,Assumptions_MortgageYears-(A57-Assumptions_CurrentAge))/((1+Assumptions_MortgageRate)^MAX(1,Assumptions_MortgageYears-(A57-Assumptions_CurrentAge))-1)), 0)</f>
      </c>
      <c r="O57" s="14">
        <f>IF(AND(Assumptions_ConsumerDebt&gt;0, A57&lt;Assumptions_ConsumerPayoffAge), IF(Assumptions_ConsumerDebtRate=0, Assumptions_ConsumerDebt/MAX(1,Assumptions_ConsumerPayoffAge-Assumptions_CurrentAge-(A57-Assumptions_CurrentAge)), Assumptions_ConsumerDebt*Assumptions_ConsumerDebtRate*(1+Assumptions_ConsumerDebtRate)^MAX(1,Assumptions_ConsumerPayoffAge-Assumptions_CurrentAge-(A57-Assumptions_CurrentAge))/((1+Assumptions_ConsumerDebtRate)^MAX(1,Assumptions_ConsumerPayoffAge-Assumptions_CurrentAge-(A57-Assumptions_CurrentAge))-1)), 0)+IF(AND(Assumptions_OtherDebt&gt;0, A57&lt;Assumptions_OtherPayoffAge), IF(Assumptions_OtherDebtRate=0, Assumptions_OtherDebt/MAX(1,Assumptions_OtherPayoffAge-Assumptions_CurrentAge-(A57-Assumptions_CurrentAge)), Assumptions_OtherDebt*Assumptions_OtherDebtRate*(1+Assumptions_OtherDebtRate)^MAX(1,Assumptions_OtherPayoffAge-Assumptions_CurrentAge-(A57-Assumptions_CurrentAge))/((1+Assumptions_OtherDebtRate)^MAX(1,Assumptions_OtherPayoffAge-Assumptions_CurrentAge-(A57-Assumptions_CurrentAge))-1)), 0)</f>
      </c>
      <c r="P57" s="14">
        <f>M57+N57+O57</f>
      </c>
      <c r="Q57" s="14">
        <f>IF(L57&lt;=0, 0, MAX(0, SUMPRODUCT(MAX(MIN(L57,FedBracketMax)-FedBracketMin,0)*FedBracketRate) - (FedBasicPersonal + IF(A57&gt;=65, MAX(0, FedAgeAmount - MAX(0, L57-FedAgeThreshold)*FedAgeClawRate), 0) + IF(OR(H57&gt;0, I57&gt;0), FedPensionCredit, 0)) * FedCreditRate))</f>
      </c>
      <c r="R57" s="14">
        <f>L57-Q57</f>
      </c>
      <c r="S57" s="14">
        <f>MAX(0,P57-R57)</f>
      </c>
      <c r="T57" s="14">
        <f>MIN(S57,AM56)</f>
      </c>
      <c r="U57" s="14">
        <f>MAX(0,S57-T57)</f>
      </c>
      <c r="V57" s="14">
        <f>MIN(U57,AN56)</f>
      </c>
      <c r="W57" s="14">
        <f>MAX(0,U57-V57)</f>
      </c>
      <c r="X57" s="16">
        <f>INDEX(FedBracketRate,MATCH(L57,FedBracketMin,1))+INDEX(ProvBracketRate,MATCH(L57,ProvBracketMin,1))</f>
      </c>
      <c r="Y57" s="14">
        <f>IF(W57&gt;0, MIN(IF(X57&gt;=1, W57, W57/(1-X57)), MAX(0,AL56-K57)), 0)</f>
      </c>
      <c r="Z57" s="14">
        <f>K57+Y57</f>
      </c>
      <c r="AA57" s="14">
        <f>IF(W57&gt;Y57*(1-X57), MIN(MAX(0,W57-Y57*(1-X57)),AO56), 0)</f>
      </c>
      <c r="AB57" s="14">
        <f>MIN(Assumptions_OasMaxAnnual, MAX(0,(E57+F57+G57+H57+Z57-Assumptions_OasClawbackThresh)*Assumptions_OasClawbackRate))</f>
      </c>
      <c r="AC57" s="14">
        <f>MAX(0,G57-AB57)</f>
      </c>
      <c r="AD57" s="14">
        <f>V57*IF(AN56&gt;0, MAX(0,1-AS56/AN56), 0)*Assumptions_CapGainsRate</f>
      </c>
      <c r="AE57" s="14">
        <f>E57+F57+AC57+H57+Z57+AD57</f>
      </c>
      <c r="AF57" s="14">
        <f>MAX(0, SUMPRODUCT(MAX(MIN(AE57,FedBracketMax)-FedBracketMin,0)*FedBracketRate) - (FedBasicPersonal + IF(A57&gt;=65, MAX(0, FedAgeAmount - MAX(0, AE57-FedAgeThreshold)*FedAgeClawRate), 0) + IF(OR(H57&gt;0, I57&gt;0), FedPensionCredit, 0)) * FedCreditRate)</f>
      </c>
      <c r="AG57" s="14">
        <f>MAX(0, SUMPRODUCT(MAX(MIN(AE57,ProvBracketMax)-ProvBracketMin,0)*ProvBracketRate) - (ProvBasicPersonal + IF(A57&gt;=65, MAX(0, ProvAgeAmount - MAX(0, AE57-ProvAgeThreshold)*ProvAgeClawRate), 0) + IF(OR(H57&gt;0, I57&gt;0), ProvPensionCredit, 0)) * ProvCreditRate) + MAX(0, (MAX(0, SUMPRODUCT(MAX(MIN(AE57,ProvBracketMax)-ProvBracketMin,0)*ProvBracketRate) - (ProvBasicPersonal + IF(A57&gt;=65, MAX(0, ProvAgeAmount - MAX(0, AE57-ProvAgeThreshold)*ProvAgeClawRate), 0) + IF(OR(H57&gt;0, I57&gt;0), ProvPensionCredit, 0)) * ProvCreditRate)-SurtaxThreshold1)*SurtaxRate1) + MAX(0, (MAX(0, SUMPRODUCT(MAX(MIN(AE57,ProvBracketMax)-ProvBracketMin,0)*ProvBracketRate) - (ProvBasicPersonal + IF(A57&gt;=65, MAX(0, ProvAgeAmount - MAX(0, AE57-ProvAgeThreshold)*ProvAgeClawRate), 0) + IF(OR(H57&gt;0, I57&gt;0), ProvPensionCredit, 0)) * ProvCreditRate)-SurtaxThreshold2)*SurtaxRate2)</f>
      </c>
      <c r="AH57" s="14">
        <f>AF57+AG57</f>
      </c>
      <c r="AI57" s="14">
        <f>E57+F57+AC57+H57+Z57+T57+V57+AA57-AH57</f>
      </c>
      <c r="AJ57" s="14">
        <f>AI57-M57-N57-O57</f>
      </c>
      <c r="AK57" s="14">
        <f>IF(AJ57&gt;0, MIN(AJ57, Assumptions_TfsaAnnualLimit), 0)</f>
      </c>
      <c r="AL57" s="14">
        <f>MAX(0,AL56-Z57)*(1+Assumptions_RealReturn)</f>
      </c>
      <c r="AM57" s="14">
        <f>MAX(0,AM56-T57+AK57)*(1+Assumptions_TfsaReturn)</f>
      </c>
      <c r="AN57" s="14">
        <f>MAX(0,AN56-V57+MAX(0,AJ57-AK57))*(1+Assumptions_NonRegReturn)</f>
      </c>
      <c r="AO57" s="14">
        <f>MAX(0,AO56-AA57)*(1+Assumptions_RealReturn)</f>
      </c>
      <c r="AP57" s="14">
        <f>IF(N57&gt;0, MAX(0, AP56*(1+Assumptions_MortgageRate)-N57), 0)</f>
      </c>
      <c r="AQ57" s="14">
        <f>AL57+AM57+AN57+AO57</f>
      </c>
      <c r="AR57" s="14">
        <f>AQ57+Assumptions_RealEstateValue-AP57</f>
      </c>
      <c r="AS57" s="14">
        <f>MAX(0,AS56*MAX(0,AN56-V57)/IF(AN56&gt;0,AN56,1))+MAX(0,AJ57-AK57)</f>
      </c>
    </row>
    <row r="58" spans="1:45" x14ac:dyDescent="0.25">
      <c r="A58" s="15">
        <f>A57+1</f>
      </c>
      <c r="B58" s="15">
        <f>2026+(A58-Assumptions_CurrentAge)</f>
      </c>
      <c r="C58" s="15">
        <f>IF(A58&gt;=Assumptions_RetirementAge,1,0)</f>
      </c>
      <c r="D58" s="17">
        <f>(1+Assumptions_Inflation)^(A58-Assumptions_CurrentAge)</f>
      </c>
      <c r="E58" s="14">
        <f>IF(AND(C58=0,Assumptions_StillWorking=1),Assumptions_EmploymentIncome*D58,0)</f>
      </c>
      <c r="F58" s="14">
        <f>IF(A58&gt;=Assumptions_CppStartAge, Assumptions_CppMonthly*12*IF((Assumptions_CppStartAge-65)*12&lt;0, 1+(Assumptions_CppStartAge-65)*12*CppEarlyReduction, 1+(Assumptions_CppStartAge-65)*12*CppLateIncrease)*D58, 0)</f>
      </c>
      <c r="G58" s="14">
        <f>IF(A58&gt;=Assumptions_OasStartAge, Assumptions_OasMonthly*12*(1+MAX(0, MIN(Assumptions_OasStartAge, OasMaxDeferAge)-OasStdStartAge)*12*OasDeferralBonus)*D58, 0)</f>
      </c>
      <c r="H58" s="14">
        <f>IF(AND(Assumptions_PensionType="db",A58&gt;=Assumptions_DbPensionStartAge), IF(Assumptions_DbPensionIndexed=1, Assumptions_DbPensionAnnual*D58, Assumptions_DbPensionAnnual), 0)</f>
      </c>
      <c r="I58" s="14">
        <f>IF(AND(A58&gt;=72,AL57&gt;0), VLOOKUP(MIN(A58,95),RrifRates,2,TRUE)*AL57, 0)</f>
      </c>
      <c r="J58" s="14">
        <f>IF(AND(Assumptions_MeltdownEnabled=1,A58&gt;=Assumptions_MeltdownStartAge,A58&lt;Assumptions_MeltdownTargetAge), MIN(Assumptions_MeltdownAnnual,AL57), 0)</f>
      </c>
      <c r="K58" s="14">
        <f>MIN(MAX(I58,J58),AL57)</f>
      </c>
      <c r="L58" s="14">
        <f>E58+F58+G58+H58+K58</f>
      </c>
      <c r="M58" s="14">
        <f>IF(C58=1, Assumptions_MonthlyExpenses*12*(1-Assumptions_ExpenseReduction), Assumptions_MonthlyExpenses*12)*D58</f>
      </c>
      <c r="N58" s="14">
        <f>IF(AND(AP57&gt;0, (A58-Assumptions_CurrentAge)&lt;Assumptions_MortgageYears), IF(Assumptions_MortgageRate=0, AP57/MAX(1,Assumptions_MortgageYears-(A58-Assumptions_CurrentAge)), AP57*Assumptions_MortgageRate*(1+Assumptions_MortgageRate)^MAX(1,Assumptions_MortgageYears-(A58-Assumptions_CurrentAge))/((1+Assumptions_MortgageRate)^MAX(1,Assumptions_MortgageYears-(A58-Assumptions_CurrentAge))-1)), 0)</f>
      </c>
      <c r="O58" s="14">
        <f>IF(AND(Assumptions_ConsumerDebt&gt;0, A58&lt;Assumptions_ConsumerPayoffAge), IF(Assumptions_ConsumerDebtRate=0, Assumptions_ConsumerDebt/MAX(1,Assumptions_ConsumerPayoffAge-Assumptions_CurrentAge-(A58-Assumptions_CurrentAge)), Assumptions_ConsumerDebt*Assumptions_ConsumerDebtRate*(1+Assumptions_ConsumerDebtRate)^MAX(1,Assumptions_ConsumerPayoffAge-Assumptions_CurrentAge-(A58-Assumptions_CurrentAge))/((1+Assumptions_ConsumerDebtRate)^MAX(1,Assumptions_ConsumerPayoffAge-Assumptions_CurrentAge-(A58-Assumptions_CurrentAge))-1)), 0)+IF(AND(Assumptions_OtherDebt&gt;0, A58&lt;Assumptions_OtherPayoffAge), IF(Assumptions_OtherDebtRate=0, Assumptions_OtherDebt/MAX(1,Assumptions_OtherPayoffAge-Assumptions_CurrentAge-(A58-Assumptions_CurrentAge)), Assumptions_OtherDebt*Assumptions_OtherDebtRate*(1+Assumptions_OtherDebtRate)^MAX(1,Assumptions_OtherPayoffAge-Assumptions_CurrentAge-(A58-Assumptions_CurrentAge))/((1+Assumptions_OtherDebtRate)^MAX(1,Assumptions_OtherPayoffAge-Assumptions_CurrentAge-(A58-Assumptions_CurrentAge))-1)), 0)</f>
      </c>
      <c r="P58" s="14">
        <f>M58+N58+O58</f>
      </c>
      <c r="Q58" s="14">
        <f>IF(L58&lt;=0, 0, MAX(0, SUMPRODUCT(MAX(MIN(L58,FedBracketMax)-FedBracketMin,0)*FedBracketRate) - (FedBasicPersonal + IF(A58&gt;=65, MAX(0, FedAgeAmount - MAX(0, L58-FedAgeThreshold)*FedAgeClawRate), 0) + IF(OR(H58&gt;0, I58&gt;0), FedPensionCredit, 0)) * FedCreditRate))</f>
      </c>
      <c r="R58" s="14">
        <f>L58-Q58</f>
      </c>
      <c r="S58" s="14">
        <f>MAX(0,P58-R58)</f>
      </c>
      <c r="T58" s="14">
        <f>MIN(S58,AM57)</f>
      </c>
      <c r="U58" s="14">
        <f>MAX(0,S58-T58)</f>
      </c>
      <c r="V58" s="14">
        <f>MIN(U58,AN57)</f>
      </c>
      <c r="W58" s="14">
        <f>MAX(0,U58-V58)</f>
      </c>
      <c r="X58" s="16">
        <f>INDEX(FedBracketRate,MATCH(L58,FedBracketMin,1))+INDEX(ProvBracketRate,MATCH(L58,ProvBracketMin,1))</f>
      </c>
      <c r="Y58" s="14">
        <f>IF(W58&gt;0, MIN(IF(X58&gt;=1, W58, W58/(1-X58)), MAX(0,AL57-K58)), 0)</f>
      </c>
      <c r="Z58" s="14">
        <f>K58+Y58</f>
      </c>
      <c r="AA58" s="14">
        <f>IF(W58&gt;Y58*(1-X58), MIN(MAX(0,W58-Y58*(1-X58)),AO57), 0)</f>
      </c>
      <c r="AB58" s="14">
        <f>MIN(Assumptions_OasMaxAnnual, MAX(0,(E58+F58+G58+H58+Z58-Assumptions_OasClawbackThresh)*Assumptions_OasClawbackRate))</f>
      </c>
      <c r="AC58" s="14">
        <f>MAX(0,G58-AB58)</f>
      </c>
      <c r="AD58" s="14">
        <f>V58*IF(AN57&gt;0, MAX(0,1-AS57/AN57), 0)*Assumptions_CapGainsRate</f>
      </c>
      <c r="AE58" s="14">
        <f>E58+F58+AC58+H58+Z58+AD58</f>
      </c>
      <c r="AF58" s="14">
        <f>MAX(0, SUMPRODUCT(MAX(MIN(AE58,FedBracketMax)-FedBracketMin,0)*FedBracketRate) - (FedBasicPersonal + IF(A58&gt;=65, MAX(0, FedAgeAmount - MAX(0, AE58-FedAgeThreshold)*FedAgeClawRate), 0) + IF(OR(H58&gt;0, I58&gt;0), FedPensionCredit, 0)) * FedCreditRate)</f>
      </c>
      <c r="AG58" s="14">
        <f>MAX(0, SUMPRODUCT(MAX(MIN(AE58,ProvBracketMax)-ProvBracketMin,0)*ProvBracketRate) - (ProvBasicPersonal + IF(A58&gt;=65, MAX(0, ProvAgeAmount - MAX(0, AE58-ProvAgeThreshold)*ProvAgeClawRate), 0) + IF(OR(H58&gt;0, I58&gt;0), ProvPensionCredit, 0)) * ProvCreditRate) + MAX(0, (MAX(0, SUMPRODUCT(MAX(MIN(AE58,ProvBracketMax)-ProvBracketMin,0)*ProvBracketRate) - (ProvBasicPersonal + IF(A58&gt;=65, MAX(0, ProvAgeAmount - MAX(0, AE58-ProvAgeThreshold)*ProvAgeClawRate), 0) + IF(OR(H58&gt;0, I58&gt;0), ProvPensionCredit, 0)) * ProvCreditRate)-SurtaxThreshold1)*SurtaxRate1) + MAX(0, (MAX(0, SUMPRODUCT(MAX(MIN(AE58,ProvBracketMax)-ProvBracketMin,0)*ProvBracketRate) - (ProvBasicPersonal + IF(A58&gt;=65, MAX(0, ProvAgeAmount - MAX(0, AE58-ProvAgeThreshold)*ProvAgeClawRate), 0) + IF(OR(H58&gt;0, I58&gt;0), ProvPensionCredit, 0)) * ProvCreditRate)-SurtaxThreshold2)*SurtaxRate2)</f>
      </c>
      <c r="AH58" s="14">
        <f>AF58+AG58</f>
      </c>
      <c r="AI58" s="14">
        <f>E58+F58+AC58+H58+Z58+T58+V58+AA58-AH58</f>
      </c>
      <c r="AJ58" s="14">
        <f>AI58-M58-N58-O58</f>
      </c>
      <c r="AK58" s="14">
        <f>IF(AJ58&gt;0, MIN(AJ58, Assumptions_TfsaAnnualLimit), 0)</f>
      </c>
      <c r="AL58" s="14">
        <f>MAX(0,AL57-Z58)*(1+Assumptions_RealReturn)</f>
      </c>
      <c r="AM58" s="14">
        <f>MAX(0,AM57-T58+AK58)*(1+Assumptions_TfsaReturn)</f>
      </c>
      <c r="AN58" s="14">
        <f>MAX(0,AN57-V58+MAX(0,AJ58-AK58))*(1+Assumptions_NonRegReturn)</f>
      </c>
      <c r="AO58" s="14">
        <f>MAX(0,AO57-AA58)*(1+Assumptions_RealReturn)</f>
      </c>
      <c r="AP58" s="14">
        <f>IF(N58&gt;0, MAX(0, AP57*(1+Assumptions_MortgageRate)-N58), 0)</f>
      </c>
      <c r="AQ58" s="14">
        <f>AL58+AM58+AN58+AO58</f>
      </c>
      <c r="AR58" s="14">
        <f>AQ58+Assumptions_RealEstateValue-AP58</f>
      </c>
      <c r="AS58" s="14">
        <f>MAX(0,AS57*MAX(0,AN57-V58)/IF(AN57&gt;0,AN57,1))+MAX(0,AJ58-AK58)</f>
      </c>
    </row>
    <row r="59" spans="1:45" x14ac:dyDescent="0.25">
      <c r="A59" s="15">
        <f>A58+1</f>
      </c>
      <c r="B59" s="15">
        <f>2026+(A59-Assumptions_CurrentAge)</f>
      </c>
      <c r="C59" s="15">
        <f>IF(A59&gt;=Assumptions_RetirementAge,1,0)</f>
      </c>
      <c r="D59" s="17">
        <f>(1+Assumptions_Inflation)^(A59-Assumptions_CurrentAge)</f>
      </c>
      <c r="E59" s="14">
        <f>IF(AND(C59=0,Assumptions_StillWorking=1),Assumptions_EmploymentIncome*D59,0)</f>
      </c>
      <c r="F59" s="14">
        <f>IF(A59&gt;=Assumptions_CppStartAge, Assumptions_CppMonthly*12*IF((Assumptions_CppStartAge-65)*12&lt;0, 1+(Assumptions_CppStartAge-65)*12*CppEarlyReduction, 1+(Assumptions_CppStartAge-65)*12*CppLateIncrease)*D59, 0)</f>
      </c>
      <c r="G59" s="14">
        <f>IF(A59&gt;=Assumptions_OasStartAge, Assumptions_OasMonthly*12*(1+MAX(0, MIN(Assumptions_OasStartAge, OasMaxDeferAge)-OasStdStartAge)*12*OasDeferralBonus)*D59, 0)</f>
      </c>
      <c r="H59" s="14">
        <f>IF(AND(Assumptions_PensionType="db",A59&gt;=Assumptions_DbPensionStartAge), IF(Assumptions_DbPensionIndexed=1, Assumptions_DbPensionAnnual*D59, Assumptions_DbPensionAnnual), 0)</f>
      </c>
      <c r="I59" s="14">
        <f>IF(AND(A59&gt;=72,AL58&gt;0), VLOOKUP(MIN(A59,95),RrifRates,2,TRUE)*AL58, 0)</f>
      </c>
      <c r="J59" s="14">
        <f>IF(AND(Assumptions_MeltdownEnabled=1,A59&gt;=Assumptions_MeltdownStartAge,A59&lt;Assumptions_MeltdownTargetAge), MIN(Assumptions_MeltdownAnnual,AL58), 0)</f>
      </c>
      <c r="K59" s="14">
        <f>MIN(MAX(I59,J59),AL58)</f>
      </c>
      <c r="L59" s="14">
        <f>E59+F59+G59+H59+K59</f>
      </c>
      <c r="M59" s="14">
        <f>IF(C59=1, Assumptions_MonthlyExpenses*12*(1-Assumptions_ExpenseReduction), Assumptions_MonthlyExpenses*12)*D59</f>
      </c>
      <c r="N59" s="14">
        <f>IF(AND(AP58&gt;0, (A59-Assumptions_CurrentAge)&lt;Assumptions_MortgageYears), IF(Assumptions_MortgageRate=0, AP58/MAX(1,Assumptions_MortgageYears-(A59-Assumptions_CurrentAge)), AP58*Assumptions_MortgageRate*(1+Assumptions_MortgageRate)^MAX(1,Assumptions_MortgageYears-(A59-Assumptions_CurrentAge))/((1+Assumptions_MortgageRate)^MAX(1,Assumptions_MortgageYears-(A59-Assumptions_CurrentAge))-1)), 0)</f>
      </c>
      <c r="O59" s="14">
        <f>IF(AND(Assumptions_ConsumerDebt&gt;0, A59&lt;Assumptions_ConsumerPayoffAge), IF(Assumptions_ConsumerDebtRate=0, Assumptions_ConsumerDebt/MAX(1,Assumptions_ConsumerPayoffAge-Assumptions_CurrentAge-(A59-Assumptions_CurrentAge)), Assumptions_ConsumerDebt*Assumptions_ConsumerDebtRate*(1+Assumptions_ConsumerDebtRate)^MAX(1,Assumptions_ConsumerPayoffAge-Assumptions_CurrentAge-(A59-Assumptions_CurrentAge))/((1+Assumptions_ConsumerDebtRate)^MAX(1,Assumptions_ConsumerPayoffAge-Assumptions_CurrentAge-(A59-Assumptions_CurrentAge))-1)), 0)+IF(AND(Assumptions_OtherDebt&gt;0, A59&lt;Assumptions_OtherPayoffAge), IF(Assumptions_OtherDebtRate=0, Assumptions_OtherDebt/MAX(1,Assumptions_OtherPayoffAge-Assumptions_CurrentAge-(A59-Assumptions_CurrentAge)), Assumptions_OtherDebt*Assumptions_OtherDebtRate*(1+Assumptions_OtherDebtRate)^MAX(1,Assumptions_OtherPayoffAge-Assumptions_CurrentAge-(A59-Assumptions_CurrentAge))/((1+Assumptions_OtherDebtRate)^MAX(1,Assumptions_OtherPayoffAge-Assumptions_CurrentAge-(A59-Assumptions_CurrentAge))-1)), 0)</f>
      </c>
      <c r="P59" s="14">
        <f>M59+N59+O59</f>
      </c>
      <c r="Q59" s="14">
        <f>IF(L59&lt;=0, 0, MAX(0, SUMPRODUCT(MAX(MIN(L59,FedBracketMax)-FedBracketMin,0)*FedBracketRate) - (FedBasicPersonal + IF(A59&gt;=65, MAX(0, FedAgeAmount - MAX(0, L59-FedAgeThreshold)*FedAgeClawRate), 0) + IF(OR(H59&gt;0, I59&gt;0), FedPensionCredit, 0)) * FedCreditRate))</f>
      </c>
      <c r="R59" s="14">
        <f>L59-Q59</f>
      </c>
      <c r="S59" s="14">
        <f>MAX(0,P59-R59)</f>
      </c>
      <c r="T59" s="14">
        <f>MIN(S59,AM58)</f>
      </c>
      <c r="U59" s="14">
        <f>MAX(0,S59-T59)</f>
      </c>
      <c r="V59" s="14">
        <f>MIN(U59,AN58)</f>
      </c>
      <c r="W59" s="14">
        <f>MAX(0,U59-V59)</f>
      </c>
      <c r="X59" s="16">
        <f>INDEX(FedBracketRate,MATCH(L59,FedBracketMin,1))+INDEX(ProvBracketRate,MATCH(L59,ProvBracketMin,1))</f>
      </c>
      <c r="Y59" s="14">
        <f>IF(W59&gt;0, MIN(IF(X59&gt;=1, W59, W59/(1-X59)), MAX(0,AL58-K59)), 0)</f>
      </c>
      <c r="Z59" s="14">
        <f>K59+Y59</f>
      </c>
      <c r="AA59" s="14">
        <f>IF(W59&gt;Y59*(1-X59), MIN(MAX(0,W59-Y59*(1-X59)),AO58), 0)</f>
      </c>
      <c r="AB59" s="14">
        <f>MIN(Assumptions_OasMaxAnnual, MAX(0,(E59+F59+G59+H59+Z59-Assumptions_OasClawbackThresh)*Assumptions_OasClawbackRate))</f>
      </c>
      <c r="AC59" s="14">
        <f>MAX(0,G59-AB59)</f>
      </c>
      <c r="AD59" s="14">
        <f>V59*IF(AN58&gt;0, MAX(0,1-AS58/AN58), 0)*Assumptions_CapGainsRate</f>
      </c>
      <c r="AE59" s="14">
        <f>E59+F59+AC59+H59+Z59+AD59</f>
      </c>
      <c r="AF59" s="14">
        <f>MAX(0, SUMPRODUCT(MAX(MIN(AE59,FedBracketMax)-FedBracketMin,0)*FedBracketRate) - (FedBasicPersonal + IF(A59&gt;=65, MAX(0, FedAgeAmount - MAX(0, AE59-FedAgeThreshold)*FedAgeClawRate), 0) + IF(OR(H59&gt;0, I59&gt;0), FedPensionCredit, 0)) * FedCreditRate)</f>
      </c>
      <c r="AG59" s="14">
        <f>MAX(0, SUMPRODUCT(MAX(MIN(AE59,ProvBracketMax)-ProvBracketMin,0)*ProvBracketRate) - (ProvBasicPersonal + IF(A59&gt;=65, MAX(0, ProvAgeAmount - MAX(0, AE59-ProvAgeThreshold)*ProvAgeClawRate), 0) + IF(OR(H59&gt;0, I59&gt;0), ProvPensionCredit, 0)) * ProvCreditRate) + MAX(0, (MAX(0, SUMPRODUCT(MAX(MIN(AE59,ProvBracketMax)-ProvBracketMin,0)*ProvBracketRate) - (ProvBasicPersonal + IF(A59&gt;=65, MAX(0, ProvAgeAmount - MAX(0, AE59-ProvAgeThreshold)*ProvAgeClawRate), 0) + IF(OR(H59&gt;0, I59&gt;0), ProvPensionCredit, 0)) * ProvCreditRate)-SurtaxThreshold1)*SurtaxRate1) + MAX(0, (MAX(0, SUMPRODUCT(MAX(MIN(AE59,ProvBracketMax)-ProvBracketMin,0)*ProvBracketRate) - (ProvBasicPersonal + IF(A59&gt;=65, MAX(0, ProvAgeAmount - MAX(0, AE59-ProvAgeThreshold)*ProvAgeClawRate), 0) + IF(OR(H59&gt;0, I59&gt;0), ProvPensionCredit, 0)) * ProvCreditRate)-SurtaxThreshold2)*SurtaxRate2)</f>
      </c>
      <c r="AH59" s="14">
        <f>AF59+AG59</f>
      </c>
      <c r="AI59" s="14">
        <f>E59+F59+AC59+H59+Z59+T59+V59+AA59-AH59</f>
      </c>
      <c r="AJ59" s="14">
        <f>AI59-M59-N59-O59</f>
      </c>
      <c r="AK59" s="14">
        <f>IF(AJ59&gt;0, MIN(AJ59, Assumptions_TfsaAnnualLimit), 0)</f>
      </c>
      <c r="AL59" s="14">
        <f>MAX(0,AL58-Z59)*(1+Assumptions_RealReturn)</f>
      </c>
      <c r="AM59" s="14">
        <f>MAX(0,AM58-T59+AK59)*(1+Assumptions_TfsaReturn)</f>
      </c>
      <c r="AN59" s="14">
        <f>MAX(0,AN58-V59+MAX(0,AJ59-AK59))*(1+Assumptions_NonRegReturn)</f>
      </c>
      <c r="AO59" s="14">
        <f>MAX(0,AO58-AA59)*(1+Assumptions_RealReturn)</f>
      </c>
      <c r="AP59" s="14">
        <f>IF(N59&gt;0, MAX(0, AP58*(1+Assumptions_MortgageRate)-N59), 0)</f>
      </c>
      <c r="AQ59" s="14">
        <f>AL59+AM59+AN59+AO59</f>
      </c>
      <c r="AR59" s="14">
        <f>AQ59+Assumptions_RealEstateValue-AP59</f>
      </c>
      <c r="AS59" s="14">
        <f>MAX(0,AS58*MAX(0,AN58-V59)/IF(AN58&gt;0,AN58,1))+MAX(0,AJ59-AK59)</f>
      </c>
    </row>
    <row r="60" spans="1:45" x14ac:dyDescent="0.25">
      <c r="A60" s="15">
        <f>A59+1</f>
      </c>
      <c r="B60" s="15">
        <f>2026+(A60-Assumptions_CurrentAge)</f>
      </c>
      <c r="C60" s="15">
        <f>IF(A60&gt;=Assumptions_RetirementAge,1,0)</f>
      </c>
      <c r="D60" s="17">
        <f>(1+Assumptions_Inflation)^(A60-Assumptions_CurrentAge)</f>
      </c>
      <c r="E60" s="14">
        <f>IF(AND(C60=0,Assumptions_StillWorking=1),Assumptions_EmploymentIncome*D60,0)</f>
      </c>
      <c r="F60" s="14">
        <f>IF(A60&gt;=Assumptions_CppStartAge, Assumptions_CppMonthly*12*IF((Assumptions_CppStartAge-65)*12&lt;0, 1+(Assumptions_CppStartAge-65)*12*CppEarlyReduction, 1+(Assumptions_CppStartAge-65)*12*CppLateIncrease)*D60, 0)</f>
      </c>
      <c r="G60" s="14">
        <f>IF(A60&gt;=Assumptions_OasStartAge, Assumptions_OasMonthly*12*(1+MAX(0, MIN(Assumptions_OasStartAge, OasMaxDeferAge)-OasStdStartAge)*12*OasDeferralBonus)*D60, 0)</f>
      </c>
      <c r="H60" s="14">
        <f>IF(AND(Assumptions_PensionType="db",A60&gt;=Assumptions_DbPensionStartAge), IF(Assumptions_DbPensionIndexed=1, Assumptions_DbPensionAnnual*D60, Assumptions_DbPensionAnnual), 0)</f>
      </c>
      <c r="I60" s="14">
        <f>IF(AND(A60&gt;=72,AL59&gt;0), VLOOKUP(MIN(A60,95),RrifRates,2,TRUE)*AL59, 0)</f>
      </c>
      <c r="J60" s="14">
        <f>IF(AND(Assumptions_MeltdownEnabled=1,A60&gt;=Assumptions_MeltdownStartAge,A60&lt;Assumptions_MeltdownTargetAge), MIN(Assumptions_MeltdownAnnual,AL59), 0)</f>
      </c>
      <c r="K60" s="14">
        <f>MIN(MAX(I60,J60),AL59)</f>
      </c>
      <c r="L60" s="14">
        <f>E60+F60+G60+H60+K60</f>
      </c>
      <c r="M60" s="14">
        <f>IF(C60=1, Assumptions_MonthlyExpenses*12*(1-Assumptions_ExpenseReduction), Assumptions_MonthlyExpenses*12)*D60</f>
      </c>
      <c r="N60" s="14">
        <f>IF(AND(AP59&gt;0, (A60-Assumptions_CurrentAge)&lt;Assumptions_MortgageYears), IF(Assumptions_MortgageRate=0, AP59/MAX(1,Assumptions_MortgageYears-(A60-Assumptions_CurrentAge)), AP59*Assumptions_MortgageRate*(1+Assumptions_MortgageRate)^MAX(1,Assumptions_MortgageYears-(A60-Assumptions_CurrentAge))/((1+Assumptions_MortgageRate)^MAX(1,Assumptions_MortgageYears-(A60-Assumptions_CurrentAge))-1)), 0)</f>
      </c>
      <c r="O60" s="14">
        <f>IF(AND(Assumptions_ConsumerDebt&gt;0, A60&lt;Assumptions_ConsumerPayoffAge), IF(Assumptions_ConsumerDebtRate=0, Assumptions_ConsumerDebt/MAX(1,Assumptions_ConsumerPayoffAge-Assumptions_CurrentAge-(A60-Assumptions_CurrentAge)), Assumptions_ConsumerDebt*Assumptions_ConsumerDebtRate*(1+Assumptions_ConsumerDebtRate)^MAX(1,Assumptions_ConsumerPayoffAge-Assumptions_CurrentAge-(A60-Assumptions_CurrentAge))/((1+Assumptions_ConsumerDebtRate)^MAX(1,Assumptions_ConsumerPayoffAge-Assumptions_CurrentAge-(A60-Assumptions_CurrentAge))-1)), 0)+IF(AND(Assumptions_OtherDebt&gt;0, A60&lt;Assumptions_OtherPayoffAge), IF(Assumptions_OtherDebtRate=0, Assumptions_OtherDebt/MAX(1,Assumptions_OtherPayoffAge-Assumptions_CurrentAge-(A60-Assumptions_CurrentAge)), Assumptions_OtherDebt*Assumptions_OtherDebtRate*(1+Assumptions_OtherDebtRate)^MAX(1,Assumptions_OtherPayoffAge-Assumptions_CurrentAge-(A60-Assumptions_CurrentAge))/((1+Assumptions_OtherDebtRate)^MAX(1,Assumptions_OtherPayoffAge-Assumptions_CurrentAge-(A60-Assumptions_CurrentAge))-1)), 0)</f>
      </c>
      <c r="P60" s="14">
        <f>M60+N60+O60</f>
      </c>
      <c r="Q60" s="14">
        <f>IF(L60&lt;=0, 0, MAX(0, SUMPRODUCT(MAX(MIN(L60,FedBracketMax)-FedBracketMin,0)*FedBracketRate) - (FedBasicPersonal + IF(A60&gt;=65, MAX(0, FedAgeAmount - MAX(0, L60-FedAgeThreshold)*FedAgeClawRate), 0) + IF(OR(H60&gt;0, I60&gt;0), FedPensionCredit, 0)) * FedCreditRate))</f>
      </c>
      <c r="R60" s="14">
        <f>L60-Q60</f>
      </c>
      <c r="S60" s="14">
        <f>MAX(0,P60-R60)</f>
      </c>
      <c r="T60" s="14">
        <f>MIN(S60,AM59)</f>
      </c>
      <c r="U60" s="14">
        <f>MAX(0,S60-T60)</f>
      </c>
      <c r="V60" s="14">
        <f>MIN(U60,AN59)</f>
      </c>
      <c r="W60" s="14">
        <f>MAX(0,U60-V60)</f>
      </c>
      <c r="X60" s="16">
        <f>INDEX(FedBracketRate,MATCH(L60,FedBracketMin,1))+INDEX(ProvBracketRate,MATCH(L60,ProvBracketMin,1))</f>
      </c>
      <c r="Y60" s="14">
        <f>IF(W60&gt;0, MIN(IF(X60&gt;=1, W60, W60/(1-X60)), MAX(0,AL59-K60)), 0)</f>
      </c>
      <c r="Z60" s="14">
        <f>K60+Y60</f>
      </c>
      <c r="AA60" s="14">
        <f>IF(W60&gt;Y60*(1-X60), MIN(MAX(0,W60-Y60*(1-X60)),AO59), 0)</f>
      </c>
      <c r="AB60" s="14">
        <f>MIN(Assumptions_OasMaxAnnual, MAX(0,(E60+F60+G60+H60+Z60-Assumptions_OasClawbackThresh)*Assumptions_OasClawbackRate))</f>
      </c>
      <c r="AC60" s="14">
        <f>MAX(0,G60-AB60)</f>
      </c>
      <c r="AD60" s="14">
        <f>V60*IF(AN59&gt;0, MAX(0,1-AS59/AN59), 0)*Assumptions_CapGainsRate</f>
      </c>
      <c r="AE60" s="14">
        <f>E60+F60+AC60+H60+Z60+AD60</f>
      </c>
      <c r="AF60" s="14">
        <f>MAX(0, SUMPRODUCT(MAX(MIN(AE60,FedBracketMax)-FedBracketMin,0)*FedBracketRate) - (FedBasicPersonal + IF(A60&gt;=65, MAX(0, FedAgeAmount - MAX(0, AE60-FedAgeThreshold)*FedAgeClawRate), 0) + IF(OR(H60&gt;0, I60&gt;0), FedPensionCredit, 0)) * FedCreditRate)</f>
      </c>
      <c r="AG60" s="14">
        <f>MAX(0, SUMPRODUCT(MAX(MIN(AE60,ProvBracketMax)-ProvBracketMin,0)*ProvBracketRate) - (ProvBasicPersonal + IF(A60&gt;=65, MAX(0, ProvAgeAmount - MAX(0, AE60-ProvAgeThreshold)*ProvAgeClawRate), 0) + IF(OR(H60&gt;0, I60&gt;0), ProvPensionCredit, 0)) * ProvCreditRate) + MAX(0, (MAX(0, SUMPRODUCT(MAX(MIN(AE60,ProvBracketMax)-ProvBracketMin,0)*ProvBracketRate) - (ProvBasicPersonal + IF(A60&gt;=65, MAX(0, ProvAgeAmount - MAX(0, AE60-ProvAgeThreshold)*ProvAgeClawRate), 0) + IF(OR(H60&gt;0, I60&gt;0), ProvPensionCredit, 0)) * ProvCreditRate)-SurtaxThreshold1)*SurtaxRate1) + MAX(0, (MAX(0, SUMPRODUCT(MAX(MIN(AE60,ProvBracketMax)-ProvBracketMin,0)*ProvBracketRate) - (ProvBasicPersonal + IF(A60&gt;=65, MAX(0, ProvAgeAmount - MAX(0, AE60-ProvAgeThreshold)*ProvAgeClawRate), 0) + IF(OR(H60&gt;0, I60&gt;0), ProvPensionCredit, 0)) * ProvCreditRate)-SurtaxThreshold2)*SurtaxRate2)</f>
      </c>
      <c r="AH60" s="14">
        <f>AF60+AG60</f>
      </c>
      <c r="AI60" s="14">
        <f>E60+F60+AC60+H60+Z60+T60+V60+AA60-AH60</f>
      </c>
      <c r="AJ60" s="14">
        <f>AI60-M60-N60-O60</f>
      </c>
      <c r="AK60" s="14">
        <f>IF(AJ60&gt;0, MIN(AJ60, Assumptions_TfsaAnnualLimit), 0)</f>
      </c>
      <c r="AL60" s="14">
        <f>MAX(0,AL59-Z60)*(1+Assumptions_RealReturn)</f>
      </c>
      <c r="AM60" s="14">
        <f>MAX(0,AM59-T60+AK60)*(1+Assumptions_TfsaReturn)</f>
      </c>
      <c r="AN60" s="14">
        <f>MAX(0,AN59-V60+MAX(0,AJ60-AK60))*(1+Assumptions_NonRegReturn)</f>
      </c>
      <c r="AO60" s="14">
        <f>MAX(0,AO59-AA60)*(1+Assumptions_RealReturn)</f>
      </c>
      <c r="AP60" s="14">
        <f>IF(N60&gt;0, MAX(0, AP59*(1+Assumptions_MortgageRate)-N60), 0)</f>
      </c>
      <c r="AQ60" s="14">
        <f>AL60+AM60+AN60+AO60</f>
      </c>
      <c r="AR60" s="14">
        <f>AQ60+Assumptions_RealEstateValue-AP60</f>
      </c>
      <c r="AS60" s="14">
        <f>MAX(0,AS59*MAX(0,AN59-V60)/IF(AN59&gt;0,AN59,1))+MAX(0,AJ60-AK60)</f>
      </c>
    </row>
    <row r="61" spans="1:45" x14ac:dyDescent="0.25">
      <c r="A61" s="15">
        <f>A60+1</f>
      </c>
      <c r="B61" s="15">
        <f>2026+(A61-Assumptions_CurrentAge)</f>
      </c>
      <c r="C61" s="15">
        <f>IF(A61&gt;=Assumptions_RetirementAge,1,0)</f>
      </c>
      <c r="D61" s="17">
        <f>(1+Assumptions_Inflation)^(A61-Assumptions_CurrentAge)</f>
      </c>
      <c r="E61" s="14">
        <f>IF(AND(C61=0,Assumptions_StillWorking=1),Assumptions_EmploymentIncome*D61,0)</f>
      </c>
      <c r="F61" s="14">
        <f>IF(A61&gt;=Assumptions_CppStartAge, Assumptions_CppMonthly*12*IF((Assumptions_CppStartAge-65)*12&lt;0, 1+(Assumptions_CppStartAge-65)*12*CppEarlyReduction, 1+(Assumptions_CppStartAge-65)*12*CppLateIncrease)*D61, 0)</f>
      </c>
      <c r="G61" s="14">
        <f>IF(A61&gt;=Assumptions_OasStartAge, Assumptions_OasMonthly*12*(1+MAX(0, MIN(Assumptions_OasStartAge, OasMaxDeferAge)-OasStdStartAge)*12*OasDeferralBonus)*D61, 0)</f>
      </c>
      <c r="H61" s="14">
        <f>IF(AND(Assumptions_PensionType="db",A61&gt;=Assumptions_DbPensionStartAge), IF(Assumptions_DbPensionIndexed=1, Assumptions_DbPensionAnnual*D61, Assumptions_DbPensionAnnual), 0)</f>
      </c>
      <c r="I61" s="14">
        <f>IF(AND(A61&gt;=72,AL60&gt;0), VLOOKUP(MIN(A61,95),RrifRates,2,TRUE)*AL60, 0)</f>
      </c>
      <c r="J61" s="14">
        <f>IF(AND(Assumptions_MeltdownEnabled=1,A61&gt;=Assumptions_MeltdownStartAge,A61&lt;Assumptions_MeltdownTargetAge), MIN(Assumptions_MeltdownAnnual,AL60), 0)</f>
      </c>
      <c r="K61" s="14">
        <f>MIN(MAX(I61,J61),AL60)</f>
      </c>
      <c r="L61" s="14">
        <f>E61+F61+G61+H61+K61</f>
      </c>
      <c r="M61" s="14">
        <f>IF(C61=1, Assumptions_MonthlyExpenses*12*(1-Assumptions_ExpenseReduction), Assumptions_MonthlyExpenses*12)*D61</f>
      </c>
      <c r="N61" s="14">
        <f>IF(AND(AP60&gt;0, (A61-Assumptions_CurrentAge)&lt;Assumptions_MortgageYears), IF(Assumptions_MortgageRate=0, AP60/MAX(1,Assumptions_MortgageYears-(A61-Assumptions_CurrentAge)), AP60*Assumptions_MortgageRate*(1+Assumptions_MortgageRate)^MAX(1,Assumptions_MortgageYears-(A61-Assumptions_CurrentAge))/((1+Assumptions_MortgageRate)^MAX(1,Assumptions_MortgageYears-(A61-Assumptions_CurrentAge))-1)), 0)</f>
      </c>
      <c r="O61" s="14">
        <f>IF(AND(Assumptions_ConsumerDebt&gt;0, A61&lt;Assumptions_ConsumerPayoffAge), IF(Assumptions_ConsumerDebtRate=0, Assumptions_ConsumerDebt/MAX(1,Assumptions_ConsumerPayoffAge-Assumptions_CurrentAge-(A61-Assumptions_CurrentAge)), Assumptions_ConsumerDebt*Assumptions_ConsumerDebtRate*(1+Assumptions_ConsumerDebtRate)^MAX(1,Assumptions_ConsumerPayoffAge-Assumptions_CurrentAge-(A61-Assumptions_CurrentAge))/((1+Assumptions_ConsumerDebtRate)^MAX(1,Assumptions_ConsumerPayoffAge-Assumptions_CurrentAge-(A61-Assumptions_CurrentAge))-1)), 0)+IF(AND(Assumptions_OtherDebt&gt;0, A61&lt;Assumptions_OtherPayoffAge), IF(Assumptions_OtherDebtRate=0, Assumptions_OtherDebt/MAX(1,Assumptions_OtherPayoffAge-Assumptions_CurrentAge-(A61-Assumptions_CurrentAge)), Assumptions_OtherDebt*Assumptions_OtherDebtRate*(1+Assumptions_OtherDebtRate)^MAX(1,Assumptions_OtherPayoffAge-Assumptions_CurrentAge-(A61-Assumptions_CurrentAge))/((1+Assumptions_OtherDebtRate)^MAX(1,Assumptions_OtherPayoffAge-Assumptions_CurrentAge-(A61-Assumptions_CurrentAge))-1)), 0)</f>
      </c>
      <c r="P61" s="14">
        <f>M61+N61+O61</f>
      </c>
      <c r="Q61" s="14">
        <f>IF(L61&lt;=0, 0, MAX(0, SUMPRODUCT(MAX(MIN(L61,FedBracketMax)-FedBracketMin,0)*FedBracketRate) - (FedBasicPersonal + IF(A61&gt;=65, MAX(0, FedAgeAmount - MAX(0, L61-FedAgeThreshold)*FedAgeClawRate), 0) + IF(OR(H61&gt;0, I61&gt;0), FedPensionCredit, 0)) * FedCreditRate))</f>
      </c>
      <c r="R61" s="14">
        <f>L61-Q61</f>
      </c>
      <c r="S61" s="14">
        <f>MAX(0,P61-R61)</f>
      </c>
      <c r="T61" s="14">
        <f>MIN(S61,AM60)</f>
      </c>
      <c r="U61" s="14">
        <f>MAX(0,S61-T61)</f>
      </c>
      <c r="V61" s="14">
        <f>MIN(U61,AN60)</f>
      </c>
      <c r="W61" s="14">
        <f>MAX(0,U61-V61)</f>
      </c>
      <c r="X61" s="16">
        <f>INDEX(FedBracketRate,MATCH(L61,FedBracketMin,1))+INDEX(ProvBracketRate,MATCH(L61,ProvBracketMin,1))</f>
      </c>
      <c r="Y61" s="14">
        <f>IF(W61&gt;0, MIN(IF(X61&gt;=1, W61, W61/(1-X61)), MAX(0,AL60-K61)), 0)</f>
      </c>
      <c r="Z61" s="14">
        <f>K61+Y61</f>
      </c>
      <c r="AA61" s="14">
        <f>IF(W61&gt;Y61*(1-X61), MIN(MAX(0,W61-Y61*(1-X61)),AO60), 0)</f>
      </c>
      <c r="AB61" s="14">
        <f>MIN(Assumptions_OasMaxAnnual, MAX(0,(E61+F61+G61+H61+Z61-Assumptions_OasClawbackThresh)*Assumptions_OasClawbackRate))</f>
      </c>
      <c r="AC61" s="14">
        <f>MAX(0,G61-AB61)</f>
      </c>
      <c r="AD61" s="14">
        <f>V61*IF(AN60&gt;0, MAX(0,1-AS60/AN60), 0)*Assumptions_CapGainsRate</f>
      </c>
      <c r="AE61" s="14">
        <f>E61+F61+AC61+H61+Z61+AD61</f>
      </c>
      <c r="AF61" s="14">
        <f>MAX(0, SUMPRODUCT(MAX(MIN(AE61,FedBracketMax)-FedBracketMin,0)*FedBracketRate) - (FedBasicPersonal + IF(A61&gt;=65, MAX(0, FedAgeAmount - MAX(0, AE61-FedAgeThreshold)*FedAgeClawRate), 0) + IF(OR(H61&gt;0, I61&gt;0), FedPensionCredit, 0)) * FedCreditRate)</f>
      </c>
      <c r="AG61" s="14">
        <f>MAX(0, SUMPRODUCT(MAX(MIN(AE61,ProvBracketMax)-ProvBracketMin,0)*ProvBracketRate) - (ProvBasicPersonal + IF(A61&gt;=65, MAX(0, ProvAgeAmount - MAX(0, AE61-ProvAgeThreshold)*ProvAgeClawRate), 0) + IF(OR(H61&gt;0, I61&gt;0), ProvPensionCredit, 0)) * ProvCreditRate) + MAX(0, (MAX(0, SUMPRODUCT(MAX(MIN(AE61,ProvBracketMax)-ProvBracketMin,0)*ProvBracketRate) - (ProvBasicPersonal + IF(A61&gt;=65, MAX(0, ProvAgeAmount - MAX(0, AE61-ProvAgeThreshold)*ProvAgeClawRate), 0) + IF(OR(H61&gt;0, I61&gt;0), ProvPensionCredit, 0)) * ProvCreditRate)-SurtaxThreshold1)*SurtaxRate1) + MAX(0, (MAX(0, SUMPRODUCT(MAX(MIN(AE61,ProvBracketMax)-ProvBracketMin,0)*ProvBracketRate) - (ProvBasicPersonal + IF(A61&gt;=65, MAX(0, ProvAgeAmount - MAX(0, AE61-ProvAgeThreshold)*ProvAgeClawRate), 0) + IF(OR(H61&gt;0, I61&gt;0), ProvPensionCredit, 0)) * ProvCreditRate)-SurtaxThreshold2)*SurtaxRate2)</f>
      </c>
      <c r="AH61" s="14">
        <f>AF61+AG61</f>
      </c>
      <c r="AI61" s="14">
        <f>E61+F61+AC61+H61+Z61+T61+V61+AA61-AH61</f>
      </c>
      <c r="AJ61" s="14">
        <f>AI61-M61-N61-O61</f>
      </c>
      <c r="AK61" s="14">
        <f>IF(AJ61&gt;0, MIN(AJ61, Assumptions_TfsaAnnualLimit), 0)</f>
      </c>
      <c r="AL61" s="14">
        <f>MAX(0,AL60-Z61)*(1+Assumptions_RealReturn)</f>
      </c>
      <c r="AM61" s="14">
        <f>MAX(0,AM60-T61+AK61)*(1+Assumptions_TfsaReturn)</f>
      </c>
      <c r="AN61" s="14">
        <f>MAX(0,AN60-V61+MAX(0,AJ61-AK61))*(1+Assumptions_NonRegReturn)</f>
      </c>
      <c r="AO61" s="14">
        <f>MAX(0,AO60-AA61)*(1+Assumptions_RealReturn)</f>
      </c>
      <c r="AP61" s="14">
        <f>IF(N61&gt;0, MAX(0, AP60*(1+Assumptions_MortgageRate)-N61), 0)</f>
      </c>
      <c r="AQ61" s="14">
        <f>AL61+AM61+AN61+AO61</f>
      </c>
      <c r="AR61" s="14">
        <f>AQ61+Assumptions_RealEstateValue-AP61</f>
      </c>
      <c r="AS61" s="14">
        <f>MAX(0,AS60*MAX(0,AN60-V61)/IF(AN60&gt;0,AN60,1))+MAX(0,AJ61-AK61)</f>
      </c>
    </row>
    <row r="62" spans="1:45" x14ac:dyDescent="0.25">
      <c r="A62" s="15">
        <f>A61+1</f>
      </c>
      <c r="B62" s="15">
        <f>2026+(A62-Assumptions_CurrentAge)</f>
      </c>
      <c r="C62" s="15">
        <f>IF(A62&gt;=Assumptions_RetirementAge,1,0)</f>
      </c>
      <c r="D62" s="17">
        <f>(1+Assumptions_Inflation)^(A62-Assumptions_CurrentAge)</f>
      </c>
      <c r="E62" s="14">
        <f>IF(AND(C62=0,Assumptions_StillWorking=1),Assumptions_EmploymentIncome*D62,0)</f>
      </c>
      <c r="F62" s="14">
        <f>IF(A62&gt;=Assumptions_CppStartAge, Assumptions_CppMonthly*12*IF((Assumptions_CppStartAge-65)*12&lt;0, 1+(Assumptions_CppStartAge-65)*12*CppEarlyReduction, 1+(Assumptions_CppStartAge-65)*12*CppLateIncrease)*D62, 0)</f>
      </c>
      <c r="G62" s="14">
        <f>IF(A62&gt;=Assumptions_OasStartAge, Assumptions_OasMonthly*12*(1+MAX(0, MIN(Assumptions_OasStartAge, OasMaxDeferAge)-OasStdStartAge)*12*OasDeferralBonus)*D62, 0)</f>
      </c>
      <c r="H62" s="14">
        <f>IF(AND(Assumptions_PensionType="db",A62&gt;=Assumptions_DbPensionStartAge), IF(Assumptions_DbPensionIndexed=1, Assumptions_DbPensionAnnual*D62, Assumptions_DbPensionAnnual), 0)</f>
      </c>
      <c r="I62" s="14">
        <f>IF(AND(A62&gt;=72,AL61&gt;0), VLOOKUP(MIN(A62,95),RrifRates,2,TRUE)*AL61, 0)</f>
      </c>
      <c r="J62" s="14">
        <f>IF(AND(Assumptions_MeltdownEnabled=1,A62&gt;=Assumptions_MeltdownStartAge,A62&lt;Assumptions_MeltdownTargetAge), MIN(Assumptions_MeltdownAnnual,AL61), 0)</f>
      </c>
      <c r="K62" s="14">
        <f>MIN(MAX(I62,J62),AL61)</f>
      </c>
      <c r="L62" s="14">
        <f>E62+F62+G62+H62+K62</f>
      </c>
      <c r="M62" s="14">
        <f>IF(C62=1, Assumptions_MonthlyExpenses*12*(1-Assumptions_ExpenseReduction), Assumptions_MonthlyExpenses*12)*D62</f>
      </c>
      <c r="N62" s="14">
        <f>IF(AND(AP61&gt;0, (A62-Assumptions_CurrentAge)&lt;Assumptions_MortgageYears), IF(Assumptions_MortgageRate=0, AP61/MAX(1,Assumptions_MortgageYears-(A62-Assumptions_CurrentAge)), AP61*Assumptions_MortgageRate*(1+Assumptions_MortgageRate)^MAX(1,Assumptions_MortgageYears-(A62-Assumptions_CurrentAge))/((1+Assumptions_MortgageRate)^MAX(1,Assumptions_MortgageYears-(A62-Assumptions_CurrentAge))-1)), 0)</f>
      </c>
      <c r="O62" s="14">
        <f>IF(AND(Assumptions_ConsumerDebt&gt;0, A62&lt;Assumptions_ConsumerPayoffAge), IF(Assumptions_ConsumerDebtRate=0, Assumptions_ConsumerDebt/MAX(1,Assumptions_ConsumerPayoffAge-Assumptions_CurrentAge-(A62-Assumptions_CurrentAge)), Assumptions_ConsumerDebt*Assumptions_ConsumerDebtRate*(1+Assumptions_ConsumerDebtRate)^MAX(1,Assumptions_ConsumerPayoffAge-Assumptions_CurrentAge-(A62-Assumptions_CurrentAge))/((1+Assumptions_ConsumerDebtRate)^MAX(1,Assumptions_ConsumerPayoffAge-Assumptions_CurrentAge-(A62-Assumptions_CurrentAge))-1)), 0)+IF(AND(Assumptions_OtherDebt&gt;0, A62&lt;Assumptions_OtherPayoffAge), IF(Assumptions_OtherDebtRate=0, Assumptions_OtherDebt/MAX(1,Assumptions_OtherPayoffAge-Assumptions_CurrentAge-(A62-Assumptions_CurrentAge)), Assumptions_OtherDebt*Assumptions_OtherDebtRate*(1+Assumptions_OtherDebtRate)^MAX(1,Assumptions_OtherPayoffAge-Assumptions_CurrentAge-(A62-Assumptions_CurrentAge))/((1+Assumptions_OtherDebtRate)^MAX(1,Assumptions_OtherPayoffAge-Assumptions_CurrentAge-(A62-Assumptions_CurrentAge))-1)), 0)</f>
      </c>
      <c r="P62" s="14">
        <f>M62+N62+O62</f>
      </c>
      <c r="Q62" s="14">
        <f>IF(L62&lt;=0, 0, MAX(0, SUMPRODUCT(MAX(MIN(L62,FedBracketMax)-FedBracketMin,0)*FedBracketRate) - (FedBasicPersonal + IF(A62&gt;=65, MAX(0, FedAgeAmount - MAX(0, L62-FedAgeThreshold)*FedAgeClawRate), 0) + IF(OR(H62&gt;0, I62&gt;0), FedPensionCredit, 0)) * FedCreditRate))</f>
      </c>
      <c r="R62" s="14">
        <f>L62-Q62</f>
      </c>
      <c r="S62" s="14">
        <f>MAX(0,P62-R62)</f>
      </c>
      <c r="T62" s="14">
        <f>MIN(S62,AM61)</f>
      </c>
      <c r="U62" s="14">
        <f>MAX(0,S62-T62)</f>
      </c>
      <c r="V62" s="14">
        <f>MIN(U62,AN61)</f>
      </c>
      <c r="W62" s="14">
        <f>MAX(0,U62-V62)</f>
      </c>
      <c r="X62" s="16">
        <f>INDEX(FedBracketRate,MATCH(L62,FedBracketMin,1))+INDEX(ProvBracketRate,MATCH(L62,ProvBracketMin,1))</f>
      </c>
      <c r="Y62" s="14">
        <f>IF(W62&gt;0, MIN(IF(X62&gt;=1, W62, W62/(1-X62)), MAX(0,AL61-K62)), 0)</f>
      </c>
      <c r="Z62" s="14">
        <f>K62+Y62</f>
      </c>
      <c r="AA62" s="14">
        <f>IF(W62&gt;Y62*(1-X62), MIN(MAX(0,W62-Y62*(1-X62)),AO61), 0)</f>
      </c>
      <c r="AB62" s="14">
        <f>MIN(Assumptions_OasMaxAnnual, MAX(0,(E62+F62+G62+H62+Z62-Assumptions_OasClawbackThresh)*Assumptions_OasClawbackRate))</f>
      </c>
      <c r="AC62" s="14">
        <f>MAX(0,G62-AB62)</f>
      </c>
      <c r="AD62" s="14">
        <f>V62*IF(AN61&gt;0, MAX(0,1-AS61/AN61), 0)*Assumptions_CapGainsRate</f>
      </c>
      <c r="AE62" s="14">
        <f>E62+F62+AC62+H62+Z62+AD62</f>
      </c>
      <c r="AF62" s="14">
        <f>MAX(0, SUMPRODUCT(MAX(MIN(AE62,FedBracketMax)-FedBracketMin,0)*FedBracketRate) - (FedBasicPersonal + IF(A62&gt;=65, MAX(0, FedAgeAmount - MAX(0, AE62-FedAgeThreshold)*FedAgeClawRate), 0) + IF(OR(H62&gt;0, I62&gt;0), FedPensionCredit, 0)) * FedCreditRate)</f>
      </c>
      <c r="AG62" s="14">
        <f>MAX(0, SUMPRODUCT(MAX(MIN(AE62,ProvBracketMax)-ProvBracketMin,0)*ProvBracketRate) - (ProvBasicPersonal + IF(A62&gt;=65, MAX(0, ProvAgeAmount - MAX(0, AE62-ProvAgeThreshold)*ProvAgeClawRate), 0) + IF(OR(H62&gt;0, I62&gt;0), ProvPensionCredit, 0)) * ProvCreditRate) + MAX(0, (MAX(0, SUMPRODUCT(MAX(MIN(AE62,ProvBracketMax)-ProvBracketMin,0)*ProvBracketRate) - (ProvBasicPersonal + IF(A62&gt;=65, MAX(0, ProvAgeAmount - MAX(0, AE62-ProvAgeThreshold)*ProvAgeClawRate), 0) + IF(OR(H62&gt;0, I62&gt;0), ProvPensionCredit, 0)) * ProvCreditRate)-SurtaxThreshold1)*SurtaxRate1) + MAX(0, (MAX(0, SUMPRODUCT(MAX(MIN(AE62,ProvBracketMax)-ProvBracketMin,0)*ProvBracketRate) - (ProvBasicPersonal + IF(A62&gt;=65, MAX(0, ProvAgeAmount - MAX(0, AE62-ProvAgeThreshold)*ProvAgeClawRate), 0) + IF(OR(H62&gt;0, I62&gt;0), ProvPensionCredit, 0)) * ProvCreditRate)-SurtaxThreshold2)*SurtaxRate2)</f>
      </c>
      <c r="AH62" s="14">
        <f>AF62+AG62</f>
      </c>
      <c r="AI62" s="14">
        <f>E62+F62+AC62+H62+Z62+T62+V62+AA62-AH62</f>
      </c>
      <c r="AJ62" s="14">
        <f>AI62-M62-N62-O62</f>
      </c>
      <c r="AK62" s="14">
        <f>IF(AJ62&gt;0, MIN(AJ62, Assumptions_TfsaAnnualLimit), 0)</f>
      </c>
      <c r="AL62" s="14">
        <f>MAX(0,AL61-Z62)*(1+Assumptions_RealReturn)</f>
      </c>
      <c r="AM62" s="14">
        <f>MAX(0,AM61-T62+AK62)*(1+Assumptions_TfsaReturn)</f>
      </c>
      <c r="AN62" s="14">
        <f>MAX(0,AN61-V62+MAX(0,AJ62-AK62))*(1+Assumptions_NonRegReturn)</f>
      </c>
      <c r="AO62" s="14">
        <f>MAX(0,AO61-AA62)*(1+Assumptions_RealReturn)</f>
      </c>
      <c r="AP62" s="14">
        <f>IF(N62&gt;0, MAX(0, AP61*(1+Assumptions_MortgageRate)-N62), 0)</f>
      </c>
      <c r="AQ62" s="14">
        <f>AL62+AM62+AN62+AO62</f>
      </c>
      <c r="AR62" s="14">
        <f>AQ62+Assumptions_RealEstateValue-AP62</f>
      </c>
      <c r="AS62" s="14">
        <f>MAX(0,AS61*MAX(0,AN61-V62)/IF(AN61&gt;0,AN61,1))+MAX(0,AJ62-AK62)</f>
      </c>
    </row>
    <row r="64" spans="1:1" x14ac:dyDescent="0.25">
      <c r="A64" s="19" t="s">
        <v>132</v>
      </c>
    </row>
    <row r="65" spans="1:2" x14ac:dyDescent="0.25">
      <c r="A65" s="20" t="s">
        <v>127</v>
      </c>
      <c r="B65" s="21" t="s">
        <v>224</v>
      </c>
    </row>
    <row r="66" spans="1:2" x14ac:dyDescent="0.25">
      <c r="A66" s="20" t="s">
        <v>181</v>
      </c>
      <c r="B66" s="21" t="s">
        <v>225</v>
      </c>
    </row>
    <row r="67" spans="1:2" x14ac:dyDescent="0.25">
      <c r="A67" s="20" t="s">
        <v>182</v>
      </c>
      <c r="B67" s="21" t="s">
        <v>226</v>
      </c>
    </row>
    <row r="68" spans="1:2" x14ac:dyDescent="0.25">
      <c r="A68" s="20" t="s">
        <v>183</v>
      </c>
      <c r="B68" s="21" t="s">
        <v>227</v>
      </c>
    </row>
    <row r="69" spans="1:2" x14ac:dyDescent="0.25">
      <c r="A69" s="20" t="s">
        <v>184</v>
      </c>
      <c r="B69" s="21" t="s">
        <v>228</v>
      </c>
    </row>
    <row r="70" spans="1:2" x14ac:dyDescent="0.25">
      <c r="A70" s="20" t="s">
        <v>185</v>
      </c>
      <c r="B70" s="21" t="s">
        <v>229</v>
      </c>
    </row>
    <row r="71" spans="1:2" x14ac:dyDescent="0.25">
      <c r="A71" s="20" t="s">
        <v>186</v>
      </c>
      <c r="B71" s="21" t="s">
        <v>230</v>
      </c>
    </row>
    <row r="72" spans="1:2" x14ac:dyDescent="0.25">
      <c r="A72" s="20" t="s">
        <v>28</v>
      </c>
      <c r="B72" s="21" t="s">
        <v>231</v>
      </c>
    </row>
    <row r="73" spans="1:2" x14ac:dyDescent="0.25">
      <c r="A73" s="20" t="s">
        <v>187</v>
      </c>
      <c r="B73" s="21" t="s">
        <v>232</v>
      </c>
    </row>
    <row r="74" spans="1:2" x14ac:dyDescent="0.25">
      <c r="A74" s="20" t="s">
        <v>188</v>
      </c>
      <c r="B74" s="21" t="s">
        <v>233</v>
      </c>
    </row>
    <row r="75" spans="1:2" x14ac:dyDescent="0.25">
      <c r="A75" s="20" t="s">
        <v>189</v>
      </c>
      <c r="B75" s="21" t="s">
        <v>234</v>
      </c>
    </row>
    <row r="76" spans="1:2" x14ac:dyDescent="0.25">
      <c r="A76" s="20" t="s">
        <v>190</v>
      </c>
      <c r="B76" s="21" t="s">
        <v>235</v>
      </c>
    </row>
    <row r="77" spans="1:2" x14ac:dyDescent="0.25">
      <c r="A77" s="20" t="s">
        <v>191</v>
      </c>
      <c r="B77" s="21" t="s">
        <v>236</v>
      </c>
    </row>
    <row r="78" spans="1:2" x14ac:dyDescent="0.25">
      <c r="A78" s="20" t="s">
        <v>192</v>
      </c>
      <c r="B78" s="21" t="s">
        <v>237</v>
      </c>
    </row>
    <row r="79" spans="1:2" x14ac:dyDescent="0.25">
      <c r="A79" s="20" t="s">
        <v>193</v>
      </c>
      <c r="B79" s="21" t="s">
        <v>238</v>
      </c>
    </row>
    <row r="80" spans="1:2" x14ac:dyDescent="0.25">
      <c r="A80" s="20" t="s">
        <v>194</v>
      </c>
      <c r="B80" s="21" t="s">
        <v>239</v>
      </c>
    </row>
    <row r="81" spans="1:2" x14ac:dyDescent="0.25">
      <c r="A81" s="20" t="s">
        <v>195</v>
      </c>
      <c r="B81" s="21" t="s">
        <v>240</v>
      </c>
    </row>
    <row r="82" spans="1:2" x14ac:dyDescent="0.25">
      <c r="A82" s="20" t="s">
        <v>196</v>
      </c>
      <c r="B82" s="21" t="s">
        <v>241</v>
      </c>
    </row>
    <row r="83" spans="1:2" x14ac:dyDescent="0.25">
      <c r="A83" s="20" t="s">
        <v>197</v>
      </c>
      <c r="B83" s="21" t="s">
        <v>242</v>
      </c>
    </row>
    <row r="84" spans="1:2" x14ac:dyDescent="0.25">
      <c r="A84" s="20" t="s">
        <v>198</v>
      </c>
      <c r="B84" s="21" t="s">
        <v>243</v>
      </c>
    </row>
    <row r="85" spans="1:2" x14ac:dyDescent="0.25">
      <c r="A85" s="20" t="s">
        <v>199</v>
      </c>
      <c r="B85" s="21" t="s">
        <v>244</v>
      </c>
    </row>
    <row r="86" spans="1:2" x14ac:dyDescent="0.25">
      <c r="A86" s="20" t="s">
        <v>200</v>
      </c>
      <c r="B86" s="21" t="s">
        <v>245</v>
      </c>
    </row>
    <row r="87" spans="1:2" x14ac:dyDescent="0.25">
      <c r="A87" s="20" t="s">
        <v>201</v>
      </c>
      <c r="B87" s="21" t="s">
        <v>246</v>
      </c>
    </row>
    <row r="88" spans="1:2" x14ac:dyDescent="0.25">
      <c r="A88" s="20" t="s">
        <v>202</v>
      </c>
      <c r="B88" s="21" t="s">
        <v>247</v>
      </c>
    </row>
    <row r="89" spans="1:2" x14ac:dyDescent="0.25">
      <c r="A89" s="20" t="s">
        <v>203</v>
      </c>
      <c r="B89" s="21" t="s">
        <v>248</v>
      </c>
    </row>
    <row r="90" spans="1:2" x14ac:dyDescent="0.25">
      <c r="A90" s="20" t="s">
        <v>204</v>
      </c>
      <c r="B90" s="21" t="s">
        <v>249</v>
      </c>
    </row>
    <row r="91" spans="1:2" x14ac:dyDescent="0.25">
      <c r="A91" s="20" t="s">
        <v>205</v>
      </c>
      <c r="B91" s="21" t="s">
        <v>250</v>
      </c>
    </row>
    <row r="92" spans="1:2" x14ac:dyDescent="0.25">
      <c r="A92" s="20" t="s">
        <v>206</v>
      </c>
      <c r="B92" s="21" t="s">
        <v>251</v>
      </c>
    </row>
    <row r="93" spans="1:2" x14ac:dyDescent="0.25">
      <c r="A93" s="20" t="s">
        <v>207</v>
      </c>
      <c r="B93" s="21" t="s">
        <v>252</v>
      </c>
    </row>
    <row r="94" spans="1:2" x14ac:dyDescent="0.25">
      <c r="A94" s="20" t="s">
        <v>208</v>
      </c>
      <c r="B94" s="21" t="s">
        <v>253</v>
      </c>
    </row>
    <row r="95" spans="1:2" x14ac:dyDescent="0.25">
      <c r="A95" s="20" t="s">
        <v>209</v>
      </c>
      <c r="B95" s="21" t="s">
        <v>254</v>
      </c>
    </row>
    <row r="96" spans="1:2" x14ac:dyDescent="0.25">
      <c r="A96" s="20" t="s">
        <v>210</v>
      </c>
      <c r="B96" s="21" t="s">
        <v>255</v>
      </c>
    </row>
    <row r="97" spans="1:2" x14ac:dyDescent="0.25">
      <c r="A97" s="20" t="s">
        <v>211</v>
      </c>
      <c r="B97" s="21" t="s">
        <v>256</v>
      </c>
    </row>
    <row r="98" spans="1:2" x14ac:dyDescent="0.25">
      <c r="A98" s="20" t="s">
        <v>212</v>
      </c>
      <c r="B98" s="21" t="s">
        <v>257</v>
      </c>
    </row>
    <row r="99" spans="1:2" x14ac:dyDescent="0.25">
      <c r="A99" s="20" t="s">
        <v>213</v>
      </c>
      <c r="B99" s="21" t="s">
        <v>258</v>
      </c>
    </row>
    <row r="100" spans="1:2" x14ac:dyDescent="0.25">
      <c r="A100" s="20" t="s">
        <v>214</v>
      </c>
      <c r="B100" s="21" t="s">
        <v>259</v>
      </c>
    </row>
    <row r="101" spans="1:2" x14ac:dyDescent="0.25">
      <c r="A101" s="20" t="s">
        <v>215</v>
      </c>
      <c r="B101" s="21" t="s">
        <v>260</v>
      </c>
    </row>
    <row r="102" spans="1:2" x14ac:dyDescent="0.25">
      <c r="A102" s="20" t="s">
        <v>216</v>
      </c>
      <c r="B102" s="21" t="s">
        <v>261</v>
      </c>
    </row>
    <row r="103" spans="1:2" x14ac:dyDescent="0.25">
      <c r="A103" s="20" t="s">
        <v>217</v>
      </c>
      <c r="B103" s="21" t="s">
        <v>262</v>
      </c>
    </row>
    <row r="104" spans="1:2" x14ac:dyDescent="0.25">
      <c r="A104" s="20" t="s">
        <v>218</v>
      </c>
      <c r="B104" s="21" t="s">
        <v>263</v>
      </c>
    </row>
    <row r="105" spans="1:2" x14ac:dyDescent="0.25">
      <c r="A105" s="20" t="s">
        <v>219</v>
      </c>
      <c r="B105" s="21" t="s">
        <v>264</v>
      </c>
    </row>
    <row r="106" spans="1:2" x14ac:dyDescent="0.25">
      <c r="A106" s="20" t="s">
        <v>220</v>
      </c>
      <c r="B106" s="21" t="s">
        <v>58</v>
      </c>
    </row>
    <row r="107" spans="1:2" x14ac:dyDescent="0.25">
      <c r="A107" s="20" t="s">
        <v>221</v>
      </c>
      <c r="B107" s="21" t="s">
        <v>265</v>
      </c>
    </row>
    <row r="108" spans="1:2" x14ac:dyDescent="0.25">
      <c r="A108" s="20" t="s">
        <v>222</v>
      </c>
      <c r="B108" s="21" t="s">
        <v>266</v>
      </c>
    </row>
    <row r="109" spans="1:2" x14ac:dyDescent="0.25">
      <c r="A109" s="20" t="s">
        <v>223</v>
      </c>
      <c r="B109" s="21" t="s">
        <v>267</v>
      </c>
    </row>
  </sheetData>
  <mergeCells count="1">
    <mergeCell ref="A1:AS2"/>
  </mergeCells>
  <conditionalFormatting sqref="AQ6:AQ62">
    <cfRule type="cellIs" dxfId="0" priority="1" operator="lessThanOrEqual">
      <formula>0</formula>
    </cfRule>
  </conditionalFormatting>
  <conditionalFormatting sqref="AJ6:AJ62">
    <cfRule type="cellIs" dxfId="1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6" customWidth="1"/>
  </cols>
  <sheetData>
    <row r="1" spans="1:4" x14ac:dyDescent="0.25">
      <c r="A1" s="1" t="s">
        <v>268</v>
      </c>
      <c r="B1" s="1"/>
      <c r="C1" s="1"/>
      <c r="D1" s="1"/>
    </row>
    <row r="2" spans="1:4" x14ac:dyDescent="0.25">
      <c r="A2" s="1"/>
      <c r="B2" s="1"/>
      <c r="C2" s="1"/>
      <c r="D2" s="1"/>
    </row>
    <row r="4" ht="22" customHeight="1" spans="1:4" x14ac:dyDescent="0.25">
      <c r="A4" s="13" t="s">
        <v>127</v>
      </c>
      <c r="B4" s="13" t="s">
        <v>269</v>
      </c>
      <c r="C4" s="13" t="s">
        <v>270</v>
      </c>
      <c r="D4" s="13" t="s">
        <v>271</v>
      </c>
    </row>
    <row r="5" spans="1:4" x14ac:dyDescent="0.25">
      <c r="A5" s="15">
        <v>55</v>
      </c>
      <c r="B5" s="22">
        <v>0.02857142857142857</v>
      </c>
      <c r="C5" s="18">
        <v>2857</v>
      </c>
      <c r="D5" s="18">
        <v>5714</v>
      </c>
    </row>
    <row r="6" spans="1:4" x14ac:dyDescent="0.25">
      <c r="A6" s="15">
        <v>56</v>
      </c>
      <c r="B6" s="22">
        <v>0.029411764705882353</v>
      </c>
      <c r="C6" s="18">
        <v>2941</v>
      </c>
      <c r="D6" s="18">
        <v>5882</v>
      </c>
    </row>
    <row r="7" spans="1:4" x14ac:dyDescent="0.25">
      <c r="A7" s="15">
        <v>57</v>
      </c>
      <c r="B7" s="22">
        <v>0.030303030303030304</v>
      </c>
      <c r="C7" s="18">
        <v>3030</v>
      </c>
      <c r="D7" s="18">
        <v>6061</v>
      </c>
    </row>
    <row r="8" spans="1:4" x14ac:dyDescent="0.25">
      <c r="A8" s="15">
        <v>58</v>
      </c>
      <c r="B8" s="22">
        <v>0.03125</v>
      </c>
      <c r="C8" s="18">
        <v>3125</v>
      </c>
      <c r="D8" s="18">
        <v>6250</v>
      </c>
    </row>
    <row r="9" spans="1:4" x14ac:dyDescent="0.25">
      <c r="A9" s="15">
        <v>59</v>
      </c>
      <c r="B9" s="22">
        <v>0.03225806451612903</v>
      </c>
      <c r="C9" s="18">
        <v>3226</v>
      </c>
      <c r="D9" s="18">
        <v>6452</v>
      </c>
    </row>
    <row r="10" spans="1:4" x14ac:dyDescent="0.25">
      <c r="A10" s="15">
        <v>60</v>
      </c>
      <c r="B10" s="22">
        <v>0.03333333333333333</v>
      </c>
      <c r="C10" s="18">
        <v>3333</v>
      </c>
      <c r="D10" s="18">
        <v>6667</v>
      </c>
    </row>
    <row r="11" spans="1:4" x14ac:dyDescent="0.25">
      <c r="A11" s="15">
        <v>61</v>
      </c>
      <c r="B11" s="22">
        <v>0.034482758620689655</v>
      </c>
      <c r="C11" s="18">
        <v>3448</v>
      </c>
      <c r="D11" s="18">
        <v>6897</v>
      </c>
    </row>
    <row r="12" spans="1:4" x14ac:dyDescent="0.25">
      <c r="A12" s="15">
        <v>62</v>
      </c>
      <c r="B12" s="22">
        <v>0.03571428571428571</v>
      </c>
      <c r="C12" s="18">
        <v>3571</v>
      </c>
      <c r="D12" s="18">
        <v>7143</v>
      </c>
    </row>
    <row r="13" spans="1:4" x14ac:dyDescent="0.25">
      <c r="A13" s="15">
        <v>63</v>
      </c>
      <c r="B13" s="22">
        <v>0.037037037037037035</v>
      </c>
      <c r="C13" s="18">
        <v>3704</v>
      </c>
      <c r="D13" s="18">
        <v>7407</v>
      </c>
    </row>
    <row r="14" spans="1:4" x14ac:dyDescent="0.25">
      <c r="A14" s="15">
        <v>64</v>
      </c>
      <c r="B14" s="22">
        <v>0.038461538461538464</v>
      </c>
      <c r="C14" s="18">
        <v>3846</v>
      </c>
      <c r="D14" s="18">
        <v>7692</v>
      </c>
    </row>
    <row r="15" spans="1:4" x14ac:dyDescent="0.25">
      <c r="A15" s="15">
        <v>65</v>
      </c>
      <c r="B15" s="22">
        <v>0.04</v>
      </c>
      <c r="C15" s="18">
        <v>4000</v>
      </c>
      <c r="D15" s="18">
        <v>8000</v>
      </c>
    </row>
    <row r="16" spans="1:4" x14ac:dyDescent="0.25">
      <c r="A16" s="15">
        <v>66</v>
      </c>
      <c r="B16" s="22">
        <v>0.041666666666666664</v>
      </c>
      <c r="C16" s="18">
        <v>4167</v>
      </c>
      <c r="D16" s="18">
        <v>8333</v>
      </c>
    </row>
    <row r="17" spans="1:4" x14ac:dyDescent="0.25">
      <c r="A17" s="15">
        <v>67</v>
      </c>
      <c r="B17" s="22">
        <v>0.043478260869565216</v>
      </c>
      <c r="C17" s="18">
        <v>4348</v>
      </c>
      <c r="D17" s="18">
        <v>8696</v>
      </c>
    </row>
    <row r="18" spans="1:4" x14ac:dyDescent="0.25">
      <c r="A18" s="15">
        <v>68</v>
      </c>
      <c r="B18" s="22">
        <v>0.045454545454545456</v>
      </c>
      <c r="C18" s="18">
        <v>4545</v>
      </c>
      <c r="D18" s="18">
        <v>9091</v>
      </c>
    </row>
    <row r="19" spans="1:4" x14ac:dyDescent="0.25">
      <c r="A19" s="15">
        <v>69</v>
      </c>
      <c r="B19" s="22">
        <v>0.047619047619047616</v>
      </c>
      <c r="C19" s="18">
        <v>4762</v>
      </c>
      <c r="D19" s="18">
        <v>9524</v>
      </c>
    </row>
    <row r="20" spans="1:4" x14ac:dyDescent="0.25">
      <c r="A20" s="15">
        <v>70</v>
      </c>
      <c r="B20" s="22">
        <v>0.05</v>
      </c>
      <c r="C20" s="18">
        <v>5000</v>
      </c>
      <c r="D20" s="18">
        <v>10000</v>
      </c>
    </row>
    <row r="21" spans="1:4" x14ac:dyDescent="0.25">
      <c r="A21" s="15">
        <v>71</v>
      </c>
      <c r="B21" s="22">
        <v>0.0528</v>
      </c>
      <c r="C21" s="18">
        <v>5280</v>
      </c>
      <c r="D21" s="18">
        <v>10560</v>
      </c>
    </row>
    <row r="22" spans="1:4" x14ac:dyDescent="0.25">
      <c r="A22" s="15">
        <v>72</v>
      </c>
      <c r="B22" s="22">
        <v>0.054</v>
      </c>
      <c r="C22" s="18">
        <v>5400</v>
      </c>
      <c r="D22" s="18">
        <v>10800</v>
      </c>
    </row>
    <row r="23" spans="1:4" x14ac:dyDescent="0.25">
      <c r="A23" s="15">
        <v>73</v>
      </c>
      <c r="B23" s="22">
        <v>0.0553</v>
      </c>
      <c r="C23" s="18">
        <v>5530</v>
      </c>
      <c r="D23" s="18">
        <v>11060</v>
      </c>
    </row>
    <row r="24" spans="1:4" x14ac:dyDescent="0.25">
      <c r="A24" s="15">
        <v>74</v>
      </c>
      <c r="B24" s="22">
        <v>0.0567</v>
      </c>
      <c r="C24" s="18">
        <v>5670</v>
      </c>
      <c r="D24" s="18">
        <v>11340</v>
      </c>
    </row>
    <row r="25" spans="1:4" x14ac:dyDescent="0.25">
      <c r="A25" s="15">
        <v>75</v>
      </c>
      <c r="B25" s="22">
        <v>0.0582</v>
      </c>
      <c r="C25" s="18">
        <v>5820</v>
      </c>
      <c r="D25" s="18">
        <v>11640</v>
      </c>
    </row>
    <row r="26" spans="1:4" x14ac:dyDescent="0.25">
      <c r="A26" s="15">
        <v>76</v>
      </c>
      <c r="B26" s="22">
        <v>0.0598</v>
      </c>
      <c r="C26" s="18">
        <v>5980</v>
      </c>
      <c r="D26" s="18">
        <v>11960</v>
      </c>
    </row>
    <row r="27" spans="1:4" x14ac:dyDescent="0.25">
      <c r="A27" s="15">
        <v>77</v>
      </c>
      <c r="B27" s="22">
        <v>0.0617</v>
      </c>
      <c r="C27" s="18">
        <v>6170</v>
      </c>
      <c r="D27" s="18">
        <v>12340</v>
      </c>
    </row>
    <row r="28" spans="1:4" x14ac:dyDescent="0.25">
      <c r="A28" s="15">
        <v>78</v>
      </c>
      <c r="B28" s="22">
        <v>0.0636</v>
      </c>
      <c r="C28" s="18">
        <v>6360</v>
      </c>
      <c r="D28" s="18">
        <v>12720</v>
      </c>
    </row>
    <row r="29" spans="1:4" x14ac:dyDescent="0.25">
      <c r="A29" s="15">
        <v>79</v>
      </c>
      <c r="B29" s="22">
        <v>0.0658</v>
      </c>
      <c r="C29" s="18">
        <v>6580</v>
      </c>
      <c r="D29" s="18">
        <v>13160</v>
      </c>
    </row>
    <row r="30" spans="1:4" x14ac:dyDescent="0.25">
      <c r="A30" s="15">
        <v>80</v>
      </c>
      <c r="B30" s="22">
        <v>0.0682</v>
      </c>
      <c r="C30" s="18">
        <v>6820</v>
      </c>
      <c r="D30" s="18">
        <v>13640</v>
      </c>
    </row>
    <row r="31" spans="1:4" x14ac:dyDescent="0.25">
      <c r="A31" s="15">
        <v>81</v>
      </c>
      <c r="B31" s="22">
        <v>0.0708</v>
      </c>
      <c r="C31" s="18">
        <v>7080</v>
      </c>
      <c r="D31" s="18">
        <v>14160</v>
      </c>
    </row>
    <row r="32" spans="1:4" x14ac:dyDescent="0.25">
      <c r="A32" s="15">
        <v>82</v>
      </c>
      <c r="B32" s="22">
        <v>0.0738</v>
      </c>
      <c r="C32" s="18">
        <v>7380</v>
      </c>
      <c r="D32" s="18">
        <v>14760</v>
      </c>
    </row>
    <row r="33" spans="1:4" x14ac:dyDescent="0.25">
      <c r="A33" s="15">
        <v>83</v>
      </c>
      <c r="B33" s="22">
        <v>0.0771</v>
      </c>
      <c r="C33" s="18">
        <v>7710</v>
      </c>
      <c r="D33" s="18">
        <v>15420</v>
      </c>
    </row>
    <row r="34" spans="1:4" x14ac:dyDescent="0.25">
      <c r="A34" s="15">
        <v>84</v>
      </c>
      <c r="B34" s="22">
        <v>0.0808</v>
      </c>
      <c r="C34" s="18">
        <v>8080</v>
      </c>
      <c r="D34" s="18">
        <v>16160</v>
      </c>
    </row>
    <row r="35" spans="1:4" x14ac:dyDescent="0.25">
      <c r="A35" s="15">
        <v>85</v>
      </c>
      <c r="B35" s="22">
        <v>0.0851</v>
      </c>
      <c r="C35" s="18">
        <v>8510</v>
      </c>
      <c r="D35" s="18">
        <v>17020</v>
      </c>
    </row>
    <row r="36" spans="1:4" x14ac:dyDescent="0.25">
      <c r="A36" s="15">
        <v>86</v>
      </c>
      <c r="B36" s="22">
        <v>0.0899</v>
      </c>
      <c r="C36" s="18">
        <v>8990</v>
      </c>
      <c r="D36" s="18">
        <v>17980</v>
      </c>
    </row>
    <row r="37" spans="1:4" x14ac:dyDescent="0.25">
      <c r="A37" s="15">
        <v>87</v>
      </c>
      <c r="B37" s="22">
        <v>0.0955</v>
      </c>
      <c r="C37" s="18">
        <v>9550</v>
      </c>
      <c r="D37" s="18">
        <v>19100</v>
      </c>
    </row>
    <row r="38" spans="1:4" x14ac:dyDescent="0.25">
      <c r="A38" s="15">
        <v>88</v>
      </c>
      <c r="B38" s="22">
        <v>0.1021</v>
      </c>
      <c r="C38" s="18">
        <v>10210</v>
      </c>
      <c r="D38" s="18">
        <v>20420</v>
      </c>
    </row>
    <row r="39" spans="1:4" x14ac:dyDescent="0.25">
      <c r="A39" s="15">
        <v>89</v>
      </c>
      <c r="B39" s="22">
        <v>0.1099</v>
      </c>
      <c r="C39" s="18">
        <v>10990</v>
      </c>
      <c r="D39" s="18">
        <v>21980</v>
      </c>
    </row>
    <row r="40" spans="1:4" x14ac:dyDescent="0.25">
      <c r="A40" s="15">
        <v>90</v>
      </c>
      <c r="B40" s="22">
        <v>0.1192</v>
      </c>
      <c r="C40" s="18">
        <v>11920</v>
      </c>
      <c r="D40" s="18">
        <v>23840</v>
      </c>
    </row>
    <row r="41" spans="1:4" x14ac:dyDescent="0.25">
      <c r="A41" s="15">
        <v>91</v>
      </c>
      <c r="B41" s="22">
        <v>0.1306</v>
      </c>
      <c r="C41" s="18">
        <v>13060</v>
      </c>
      <c r="D41" s="18">
        <v>26120</v>
      </c>
    </row>
    <row r="42" spans="1:4" x14ac:dyDescent="0.25">
      <c r="A42" s="15">
        <v>92</v>
      </c>
      <c r="B42" s="22">
        <v>0.1449</v>
      </c>
      <c r="C42" s="18">
        <v>14490</v>
      </c>
      <c r="D42" s="18">
        <v>28980</v>
      </c>
    </row>
    <row r="43" spans="1:4" x14ac:dyDescent="0.25">
      <c r="A43" s="15">
        <v>93</v>
      </c>
      <c r="B43" s="22">
        <v>0.1634</v>
      </c>
      <c r="C43" s="18">
        <v>16340</v>
      </c>
      <c r="D43" s="18">
        <v>32680</v>
      </c>
    </row>
    <row r="44" spans="1:4" x14ac:dyDescent="0.25">
      <c r="A44" s="15">
        <v>94</v>
      </c>
      <c r="B44" s="22">
        <v>0.1879</v>
      </c>
      <c r="C44" s="18">
        <v>18790</v>
      </c>
      <c r="D44" s="18">
        <v>37580</v>
      </c>
    </row>
    <row r="45" spans="1:4" x14ac:dyDescent="0.25">
      <c r="A45" s="15">
        <v>95</v>
      </c>
      <c r="B45" s="22">
        <v>0.2</v>
      </c>
      <c r="C45" s="18">
        <v>20000</v>
      </c>
      <c r="D45" s="18">
        <v>40000</v>
      </c>
    </row>
    <row r="47" spans="1:1" x14ac:dyDescent="0.25">
      <c r="A47" s="19" t="s">
        <v>132</v>
      </c>
    </row>
    <row r="48" spans="1:2" x14ac:dyDescent="0.25">
      <c r="A48" s="20" t="s">
        <v>127</v>
      </c>
      <c r="B48" s="21" t="s">
        <v>272</v>
      </c>
    </row>
    <row r="49" spans="1:2" x14ac:dyDescent="0.25">
      <c r="A49" s="20" t="s">
        <v>269</v>
      </c>
      <c r="B49" s="21" t="s">
        <v>273</v>
      </c>
    </row>
    <row r="50" spans="1:2" x14ac:dyDescent="0.25">
      <c r="A50" s="20" t="s">
        <v>270</v>
      </c>
      <c r="B50" s="21" t="s">
        <v>274</v>
      </c>
    </row>
    <row r="51" spans="1:2" x14ac:dyDescent="0.25">
      <c r="A51" s="20" t="s">
        <v>271</v>
      </c>
      <c r="B51" s="21" t="s">
        <v>275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43"/>
  <sheetFormatPr defaultRowHeight="15" outlineLevelRow="0" outlineLevelCol="0" x14ac:dyDescent="55"/>
  <cols>
    <col min="1" max="1" width="28" customWidth="1"/>
    <col min="2" max="3" width="18" customWidth="1"/>
  </cols>
  <sheetData>
    <row r="1" spans="1:3" x14ac:dyDescent="0.25">
      <c r="A1" s="1" t="s">
        <v>276</v>
      </c>
      <c r="B1" s="1"/>
      <c r="C1" s="1"/>
    </row>
    <row r="2" spans="1:3" x14ac:dyDescent="0.25">
      <c r="A2" s="1"/>
      <c r="B2" s="1"/>
      <c r="C2" s="1"/>
    </row>
    <row r="4" spans="1:1" x14ac:dyDescent="0.25">
      <c r="A4" s="2" t="s">
        <v>277</v>
      </c>
    </row>
    <row r="6" spans="1:3" x14ac:dyDescent="0.25">
      <c r="A6" s="5" t="s">
        <v>278</v>
      </c>
      <c r="B6" s="5"/>
      <c r="C6" s="5"/>
    </row>
    <row r="7" spans="1:2" x14ac:dyDescent="0.25">
      <c r="A7" s="6" t="s">
        <v>279</v>
      </c>
      <c r="B7" s="14">
        <f>'Projection'!AL62</f>
      </c>
    </row>
    <row r="8" spans="1:2" x14ac:dyDescent="0.25">
      <c r="A8" s="6" t="s">
        <v>41</v>
      </c>
      <c r="B8" s="14">
        <f>'Projection'!AM62</f>
      </c>
    </row>
    <row r="9" spans="1:2" x14ac:dyDescent="0.25">
      <c r="A9" s="6" t="s">
        <v>43</v>
      </c>
      <c r="B9" s="14">
        <f>'Projection'!AN62</f>
      </c>
    </row>
    <row r="10" spans="1:2" x14ac:dyDescent="0.25">
      <c r="A10" s="6" t="s">
        <v>47</v>
      </c>
      <c r="B10" s="14">
        <f>'Projection'!AO62</f>
      </c>
    </row>
    <row r="11" spans="1:2" x14ac:dyDescent="0.25">
      <c r="A11" s="6" t="s">
        <v>221</v>
      </c>
      <c r="B11" s="14">
        <f>'Projection'!AQ62</f>
      </c>
    </row>
    <row r="12" spans="1:2" x14ac:dyDescent="0.25">
      <c r="A12" s="6" t="s">
        <v>50</v>
      </c>
      <c r="B12" s="14">
        <f>Assumptions_RealEstateValue</f>
      </c>
    </row>
    <row r="13" spans="1:2" x14ac:dyDescent="0.25">
      <c r="A13" s="6" t="s">
        <v>57</v>
      </c>
      <c r="B13" s="14">
        <f>'Projection'!AP62</f>
      </c>
    </row>
    <row r="15" spans="1:3" x14ac:dyDescent="0.25">
      <c r="A15" s="5" t="s">
        <v>280</v>
      </c>
      <c r="B15" s="5"/>
      <c r="C15" s="5"/>
    </row>
    <row r="16" spans="1:2" x14ac:dyDescent="0.25">
      <c r="A16" s="6" t="s">
        <v>281</v>
      </c>
      <c r="B16" s="14">
        <f>B7</f>
      </c>
    </row>
    <row r="17" spans="1:2" x14ac:dyDescent="0.25">
      <c r="A17" s="6" t="s">
        <v>282</v>
      </c>
      <c r="B17" s="14">
        <f>MAX(0,B9-Assumptions_NonRegCostBasis)*Assumptions_CapGainsRate</f>
      </c>
    </row>
    <row r="18" spans="1:2" x14ac:dyDescent="0.25">
      <c r="A18" s="6" t="s">
        <v>283</v>
      </c>
      <c r="B18" s="14">
        <f>IF(Assumptions_IsPrimaryRes=1, 0, MAX(0,B12-Assumptions_RealEstateCost)*Assumptions_CapGainsRate)</f>
      </c>
    </row>
    <row r="19" spans="1:2" x14ac:dyDescent="0.25">
      <c r="A19" s="23" t="s">
        <v>284</v>
      </c>
      <c r="B19" s="14">
        <f>B16+B17+B18</f>
      </c>
    </row>
    <row r="21" spans="1:3" x14ac:dyDescent="0.25">
      <c r="A21" s="5" t="s">
        <v>285</v>
      </c>
      <c r="B21" s="5"/>
      <c r="C21" s="5"/>
    </row>
    <row r="22" spans="1:2" x14ac:dyDescent="0.25">
      <c r="A22" s="6" t="s">
        <v>210</v>
      </c>
      <c r="B22" s="14">
        <f>MAX(0, SUMPRODUCT(MAX(MIN(B19,FedBracketMax)-FedBracketMin,0)*FedBracketRate) - FedBasicPersonal*FedCreditRate)</f>
      </c>
    </row>
    <row r="23" spans="1:2" x14ac:dyDescent="0.25">
      <c r="A23" s="6" t="s">
        <v>211</v>
      </c>
      <c r="B23" s="14">
        <f>MAX(0, SUMPRODUCT(MAX(MIN(B19,ProvBracketMax)-ProvBracketMin,0)*ProvBracketRate) - ProvBasicPersonal*ProvCreditRate) + MAX(0,(MAX(0, SUMPRODUCT(MAX(MIN(B19,ProvBracketMax)-ProvBracketMin,0)*ProvBracketRate) - ProvBasicPersonal*ProvCreditRate)-SurtaxThreshold1)*SurtaxRate1) + MAX(0,(MAX(0, SUMPRODUCT(MAX(MIN(B19,ProvBracketMax)-ProvBracketMin,0)*ProvBracketRate) - ProvBasicPersonal*ProvCreditRate)-SurtaxThreshold2)*SurtaxRate2)</f>
      </c>
    </row>
    <row r="24" spans="1:2" x14ac:dyDescent="0.25">
      <c r="A24" s="23" t="s">
        <v>286</v>
      </c>
      <c r="B24" s="14">
        <f>B22+B23</f>
      </c>
    </row>
    <row r="26" spans="1:3" x14ac:dyDescent="0.25">
      <c r="A26" s="5" t="s">
        <v>287</v>
      </c>
      <c r="B26" s="5"/>
      <c r="C26" s="5"/>
    </row>
    <row r="27" spans="1:2" x14ac:dyDescent="0.25">
      <c r="A27" s="6" t="s">
        <v>288</v>
      </c>
      <c r="B27" s="14">
        <f>MAX(0, B11+B12-B8-B13)</f>
      </c>
    </row>
    <row r="28" spans="1:2" x14ac:dyDescent="0.25">
      <c r="A28" s="6" t="s">
        <v>289</v>
      </c>
      <c r="B28" s="14">
        <f>MIN(B27,50000)*0.005+MAX(0,B27-50000)*0.015</f>
      </c>
    </row>
    <row r="30" spans="1:3" x14ac:dyDescent="0.25">
      <c r="A30" s="5" t="s">
        <v>290</v>
      </c>
      <c r="B30" s="5"/>
      <c r="C30" s="5"/>
    </row>
    <row r="31" spans="1:2" x14ac:dyDescent="0.25">
      <c r="A31" s="6" t="s">
        <v>291</v>
      </c>
      <c r="B31" s="14">
        <f>B11+B12</f>
      </c>
    </row>
    <row r="32" spans="1:2" x14ac:dyDescent="0.25">
      <c r="A32" s="6" t="s">
        <v>292</v>
      </c>
      <c r="B32" s="14">
        <f>B13</f>
      </c>
    </row>
    <row r="33" spans="1:2" x14ac:dyDescent="0.25">
      <c r="A33" s="6" t="s">
        <v>293</v>
      </c>
      <c r="B33" s="14">
        <f>B24</f>
      </c>
    </row>
    <row r="34" spans="1:2" x14ac:dyDescent="0.25">
      <c r="A34" s="6" t="s">
        <v>294</v>
      </c>
      <c r="B34" s="14">
        <f>B28</f>
      </c>
    </row>
    <row r="35" spans="1:2" x14ac:dyDescent="0.25">
      <c r="A35" s="24" t="s">
        <v>295</v>
      </c>
      <c r="B35" s="25">
        <f>B11+B12-B13-B24-B28</f>
      </c>
    </row>
    <row r="37" spans="1:1" x14ac:dyDescent="0.25">
      <c r="A37" s="19" t="s">
        <v>132</v>
      </c>
    </row>
    <row r="38" spans="1:2" x14ac:dyDescent="0.25">
      <c r="A38" s="20" t="s">
        <v>296</v>
      </c>
      <c r="B38" s="21" t="s">
        <v>297</v>
      </c>
    </row>
    <row r="39" spans="1:2" x14ac:dyDescent="0.25">
      <c r="A39" s="20" t="s">
        <v>298</v>
      </c>
      <c r="B39" s="21" t="s">
        <v>299</v>
      </c>
    </row>
    <row r="40" spans="1:2" x14ac:dyDescent="0.25">
      <c r="A40" s="20" t="s">
        <v>300</v>
      </c>
      <c r="B40" s="21" t="s">
        <v>301</v>
      </c>
    </row>
    <row r="41" spans="1:2" x14ac:dyDescent="0.25">
      <c r="A41" s="20" t="s">
        <v>288</v>
      </c>
      <c r="B41" s="21" t="s">
        <v>302</v>
      </c>
    </row>
    <row r="42" spans="1:2" x14ac:dyDescent="0.25">
      <c r="A42" s="20" t="s">
        <v>287</v>
      </c>
      <c r="B42" s="21" t="s">
        <v>303</v>
      </c>
    </row>
    <row r="43" spans="1:2" x14ac:dyDescent="0.25">
      <c r="A43" s="20" t="s">
        <v>304</v>
      </c>
      <c r="B43" s="21" t="s">
        <v>305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F6"/>
  <sheetFormatPr defaultRowHeight="15" outlineLevelRow="0" outlineLevelCol="0" x14ac:dyDescent="55"/>
  <cols>
    <col min="1" max="1" width="24" customWidth="1"/>
    <col min="2" max="2" width="20" customWidth="1"/>
    <col min="3" max="6" width="18" customWidth="1"/>
  </cols>
  <sheetData>
    <row r="1" spans="1:6" x14ac:dyDescent="0.25">
      <c r="A1" s="1" t="s">
        <v>306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1" x14ac:dyDescent="0.25">
      <c r="A4" s="2" t="s">
        <v>307</v>
      </c>
    </row>
    <row r="6" spans="1:1" x14ac:dyDescent="0.25">
      <c r="A6" s="3" t="s">
        <v>308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CPP-OAS Verify</vt:lpstr>
      <vt:lpstr>Tax Engine</vt:lpstr>
      <vt:lpstr>Projection</vt:lpstr>
      <vt:lpstr>RRIF Rates</vt:lpstr>
      <vt:lpstr>Estate</vt:lpstr>
      <vt:lpstr>Optimizer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RetirePlanner.ca</dc:creator>
  <dc:title/>
  <dc:subject/>
  <dc:description/>
  <cp:keywords/>
  <cp:category/>
  <cp:lastModifiedBy>Unknown</cp:lastModifiedBy>
  <dcterms:created xsi:type="dcterms:W3CDTF">2026-03-04T04:24:56Z</dcterms:created>
  <dcterms:modified xsi:type="dcterms:W3CDTF">2026-03-04T04:24:56Z</dcterms:modified>
</cp:coreProperties>
</file>